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73b0dc5353879a72/Desktop/GitHub Project/Data Cleaning Project/"/>
    </mc:Choice>
  </mc:AlternateContent>
  <xr:revisionPtr revIDLastSave="20" documentId="8_{21720237-BC50-4025-8B06-42067F259D88}" xr6:coauthVersionLast="47" xr6:coauthVersionMax="47" xr10:uidLastSave="{88B57834-C6D6-49A7-B360-67581B956AE7}"/>
  <bookViews>
    <workbookView xWindow="-108" yWindow="-108" windowWidth="23256" windowHeight="12456" activeTab="1" xr2:uid="{892D9C25-192A-4626-8EB6-F0AA4DE8D38B}"/>
  </bookViews>
  <sheets>
    <sheet name="Vee Inc Data" sheetId="2" r:id="rId1"/>
    <sheet name="Vee Inc Data (Cleaned)" sheetId="4" r:id="rId2"/>
  </sheets>
  <definedNames>
    <definedName name="_xlnm._FilterDatabase" localSheetId="0" hidden="1">'Vee Inc Data'!$B$2:$H$28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4" l="1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N3" i="4"/>
  <c r="R3" i="4" s="1"/>
  <c r="N4" i="4"/>
  <c r="S4" i="4" s="1"/>
  <c r="N5" i="4"/>
  <c r="R5" i="4" s="1"/>
  <c r="N6" i="4"/>
  <c r="R6" i="4" s="1"/>
  <c r="N7" i="4"/>
  <c r="S7" i="4" s="1"/>
  <c r="N8" i="4"/>
  <c r="S8" i="4" s="1"/>
  <c r="N9" i="4"/>
  <c r="R9" i="4" s="1"/>
  <c r="N10" i="4"/>
  <c r="R10" i="4" s="1"/>
  <c r="N11" i="4"/>
  <c r="R11" i="4" s="1"/>
  <c r="N12" i="4"/>
  <c r="Q12" i="4" s="1"/>
  <c r="N13" i="4"/>
  <c r="R13" i="4" s="1"/>
  <c r="N14" i="4"/>
  <c r="R14" i="4" s="1"/>
  <c r="N15" i="4"/>
  <c r="S15" i="4" s="1"/>
  <c r="N16" i="4"/>
  <c r="Q16" i="4" s="1"/>
  <c r="N17" i="4"/>
  <c r="S17" i="4" s="1"/>
  <c r="N18" i="4"/>
  <c r="S18" i="4" s="1"/>
  <c r="N19" i="4"/>
  <c r="S19" i="4" s="1"/>
  <c r="N20" i="4"/>
  <c r="S20" i="4" s="1"/>
  <c r="N21" i="4"/>
  <c r="S21" i="4" s="1"/>
  <c r="N22" i="4"/>
  <c r="S22" i="4" s="1"/>
  <c r="N23" i="4"/>
  <c r="S23" i="4" s="1"/>
  <c r="N24" i="4"/>
  <c r="S24" i="4" s="1"/>
  <c r="N25" i="4"/>
  <c r="S25" i="4" s="1"/>
  <c r="N26" i="4"/>
  <c r="S26" i="4" s="1"/>
  <c r="P6" i="4" l="1"/>
  <c r="R18" i="4"/>
  <c r="S6" i="4"/>
  <c r="S5" i="4"/>
  <c r="P4" i="4"/>
  <c r="R16" i="4"/>
  <c r="S16" i="4"/>
  <c r="Q15" i="4"/>
  <c r="R15" i="4"/>
  <c r="S3" i="4"/>
  <c r="Q14" i="4"/>
  <c r="S14" i="4"/>
  <c r="P13" i="4"/>
  <c r="S13" i="4"/>
  <c r="P12" i="4"/>
  <c r="Q24" i="4"/>
  <c r="R12" i="4"/>
  <c r="S12" i="4"/>
  <c r="P23" i="4"/>
  <c r="Q11" i="4"/>
  <c r="S11" i="4"/>
  <c r="Q22" i="4"/>
  <c r="S10" i="4"/>
  <c r="Q21" i="4"/>
  <c r="S9" i="4"/>
  <c r="P20" i="4"/>
  <c r="P8" i="4"/>
  <c r="Q20" i="4"/>
  <c r="Q8" i="4"/>
  <c r="R20" i="4"/>
  <c r="R8" i="4"/>
  <c r="P18" i="4"/>
  <c r="Q18" i="4"/>
  <c r="Q6" i="4"/>
  <c r="P17" i="4"/>
  <c r="P5" i="4"/>
  <c r="Q17" i="4"/>
  <c r="Q5" i="4"/>
  <c r="R17" i="4"/>
  <c r="P16" i="4"/>
  <c r="Q4" i="4"/>
  <c r="R4" i="4"/>
  <c r="P15" i="4"/>
  <c r="P3" i="4"/>
  <c r="Q3" i="4"/>
  <c r="P26" i="4"/>
  <c r="P14" i="4"/>
  <c r="Q26" i="4"/>
  <c r="R26" i="4"/>
  <c r="P25" i="4"/>
  <c r="Q25" i="4"/>
  <c r="Q13" i="4"/>
  <c r="R25" i="4"/>
  <c r="P24" i="4"/>
  <c r="R24" i="4"/>
  <c r="P11" i="4"/>
  <c r="Q23" i="4"/>
  <c r="R23" i="4"/>
  <c r="P22" i="4"/>
  <c r="P10" i="4"/>
  <c r="Q10" i="4"/>
  <c r="R22" i="4"/>
  <c r="P21" i="4"/>
  <c r="P9" i="4"/>
  <c r="Q9" i="4"/>
  <c r="R21" i="4"/>
  <c r="P19" i="4"/>
  <c r="P7" i="4"/>
  <c r="Q19" i="4"/>
  <c r="Q7" i="4"/>
  <c r="R19" i="4"/>
  <c r="R7" i="4"/>
</calcChain>
</file>

<file path=xl/sharedStrings.xml><?xml version="1.0" encoding="utf-8"?>
<sst xmlns="http://schemas.openxmlformats.org/spreadsheetml/2006/main" count="336" uniqueCount="150">
  <si>
    <t>Customer ID</t>
  </si>
  <si>
    <t>Customer Name</t>
  </si>
  <si>
    <t>Brand</t>
  </si>
  <si>
    <t>Product</t>
  </si>
  <si>
    <t>Location</t>
  </si>
  <si>
    <t>Quantity</t>
  </si>
  <si>
    <t>Price</t>
  </si>
  <si>
    <t>Cost per unit</t>
  </si>
  <si>
    <t>Will_Smith</t>
  </si>
  <si>
    <t>Nike</t>
  </si>
  <si>
    <t>MagisTA SHoes</t>
  </si>
  <si>
    <t xml:space="preserve">    London UK</t>
  </si>
  <si>
    <t>122,79</t>
  </si>
  <si>
    <t>Paul_Singh</t>
  </si>
  <si>
    <t>Armani</t>
  </si>
  <si>
    <t>V-NECK Tshirt</t>
  </si>
  <si>
    <t>Madrid Spain</t>
  </si>
  <si>
    <t>204,62</t>
  </si>
  <si>
    <t>43</t>
  </si>
  <si>
    <t>Micheal_Fritz</t>
  </si>
  <si>
    <t>Nike Inc.</t>
  </si>
  <si>
    <t>FootBALL SHIRt</t>
  </si>
  <si>
    <t xml:space="preserve">    Tampa   USA</t>
  </si>
  <si>
    <t>122,76</t>
  </si>
  <si>
    <t>Nyla_Novak</t>
  </si>
  <si>
    <t>Nike UK</t>
  </si>
  <si>
    <t>Air MAx</t>
  </si>
  <si>
    <t xml:space="preserve">       Tokyo     Japan</t>
  </si>
  <si>
    <t>81,6</t>
  </si>
  <si>
    <t>David_Kolade</t>
  </si>
  <si>
    <t>54,67</t>
  </si>
  <si>
    <t>Seun_Smart</t>
  </si>
  <si>
    <t>New Balance</t>
  </si>
  <si>
    <t>Casual SHOes</t>
  </si>
  <si>
    <t>203,79</t>
  </si>
  <si>
    <t>56</t>
  </si>
  <si>
    <t>Jonah_Richards</t>
  </si>
  <si>
    <t>Asics</t>
  </si>
  <si>
    <t>Core Sprinter</t>
  </si>
  <si>
    <t>122,77</t>
  </si>
  <si>
    <t>Jordan_Woods</t>
  </si>
  <si>
    <t>CORE ss TOp</t>
  </si>
  <si>
    <t xml:space="preserve">  Berlin   Germany</t>
  </si>
  <si>
    <t>123,96</t>
  </si>
  <si>
    <t>Aminat_Townsend</t>
  </si>
  <si>
    <t>206,97</t>
  </si>
  <si>
    <t>Nora_Gold</t>
  </si>
  <si>
    <t>207,14</t>
  </si>
  <si>
    <t>Brendan_Walls</t>
  </si>
  <si>
    <t>JAPan ShiRT</t>
  </si>
  <si>
    <t>37</t>
  </si>
  <si>
    <t>Steven_Michael</t>
  </si>
  <si>
    <t>Lucia_Mckay</t>
  </si>
  <si>
    <t>Josue_Roach</t>
  </si>
  <si>
    <t xml:space="preserve">  Paris France</t>
  </si>
  <si>
    <t>Franklin_Wright</t>
  </si>
  <si>
    <t>Puma</t>
  </si>
  <si>
    <t>Football SHOES</t>
  </si>
  <si>
    <t>50</t>
  </si>
  <si>
    <t>Alia_Thornton</t>
  </si>
  <si>
    <t>TeNNIS Shorts</t>
  </si>
  <si>
    <t>Denzel_Torress</t>
  </si>
  <si>
    <t>Bruno_Fernades</t>
  </si>
  <si>
    <t>Jarup_Knapp</t>
  </si>
  <si>
    <t>Bruce_Storm</t>
  </si>
  <si>
    <t>London    UK</t>
  </si>
  <si>
    <t>Brown_Shakespeare</t>
  </si>
  <si>
    <t>Dunk High Retro</t>
  </si>
  <si>
    <t>Jaden_Andrew</t>
  </si>
  <si>
    <t>-</t>
  </si>
  <si>
    <t>First Name</t>
  </si>
  <si>
    <t>Last Name</t>
  </si>
  <si>
    <t>Will</t>
  </si>
  <si>
    <t>Paul</t>
  </si>
  <si>
    <t>Micheal</t>
  </si>
  <si>
    <t>Nyla</t>
  </si>
  <si>
    <t>David</t>
  </si>
  <si>
    <t>Seun</t>
  </si>
  <si>
    <t>Jonah</t>
  </si>
  <si>
    <t>Jordan</t>
  </si>
  <si>
    <t>Aminat</t>
  </si>
  <si>
    <t>Nora</t>
  </si>
  <si>
    <t>Brendan</t>
  </si>
  <si>
    <t>Steven</t>
  </si>
  <si>
    <t>Lucia</t>
  </si>
  <si>
    <t>Josue</t>
  </si>
  <si>
    <t>Franklin</t>
  </si>
  <si>
    <t>Alia</t>
  </si>
  <si>
    <t>Denzel</t>
  </si>
  <si>
    <t>Bruno</t>
  </si>
  <si>
    <t>Jarup</t>
  </si>
  <si>
    <t>Bruce</t>
  </si>
  <si>
    <t>Brown</t>
  </si>
  <si>
    <t>Jaden</t>
  </si>
  <si>
    <t>Smith</t>
  </si>
  <si>
    <t>Singh</t>
  </si>
  <si>
    <t>Fritz</t>
  </si>
  <si>
    <t>Novak</t>
  </si>
  <si>
    <t>Kolade</t>
  </si>
  <si>
    <t>Smart</t>
  </si>
  <si>
    <t>Richards</t>
  </si>
  <si>
    <t>Woods</t>
  </si>
  <si>
    <t>Townsend</t>
  </si>
  <si>
    <t>Gold</t>
  </si>
  <si>
    <t>Walls</t>
  </si>
  <si>
    <t>Michael</t>
  </si>
  <si>
    <t>Mckay</t>
  </si>
  <si>
    <t>Roach</t>
  </si>
  <si>
    <t>Wright</t>
  </si>
  <si>
    <t>Thornton</t>
  </si>
  <si>
    <t>Torress</t>
  </si>
  <si>
    <t>Fernades</t>
  </si>
  <si>
    <t>Knapp</t>
  </si>
  <si>
    <t>Storm</t>
  </si>
  <si>
    <t>Shakespeare</t>
  </si>
  <si>
    <t>Andrew</t>
  </si>
  <si>
    <t>Magista Shoes</t>
  </si>
  <si>
    <t>V-Neck Tshirt</t>
  </si>
  <si>
    <t>Football Shirt</t>
  </si>
  <si>
    <t>Air Max</t>
  </si>
  <si>
    <t>Casual Shoes</t>
  </si>
  <si>
    <t>Core Ss Top</t>
  </si>
  <si>
    <t>Japan Shirt</t>
  </si>
  <si>
    <t>Football Shoes</t>
  </si>
  <si>
    <t>Tennis Shorts</t>
  </si>
  <si>
    <t>City</t>
  </si>
  <si>
    <t>Country</t>
  </si>
  <si>
    <t>London</t>
  </si>
  <si>
    <t>Madrid</t>
  </si>
  <si>
    <t>Tampa</t>
  </si>
  <si>
    <t>Tokyo</t>
  </si>
  <si>
    <t>Berlin</t>
  </si>
  <si>
    <t>Paris</t>
  </si>
  <si>
    <t>UK</t>
  </si>
  <si>
    <t>Spain</t>
  </si>
  <si>
    <t>USA</t>
  </si>
  <si>
    <t>Japan</t>
  </si>
  <si>
    <t>Germany</t>
  </si>
  <si>
    <t>France</t>
  </si>
  <si>
    <t>Revenue</t>
  </si>
  <si>
    <t>Cost</t>
  </si>
  <si>
    <t>Profit</t>
  </si>
  <si>
    <t>5% Discount</t>
  </si>
  <si>
    <t>7% Discount</t>
  </si>
  <si>
    <t>10% Discount</t>
  </si>
  <si>
    <t>London UK</t>
  </si>
  <si>
    <t>Paris France</t>
  </si>
  <si>
    <t>Tampa USA</t>
  </si>
  <si>
    <t>Tokyo Japan</t>
  </si>
  <si>
    <t>Berlin Germany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</si>
</sst>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_-[$$-409]* #,##0.00_ ;_-[$$-409]* \-#,##0.00\ ;_-[$$-409]* &quot;-&quot;??_ ;_-@_ "/>
  </numFmts>
  <fonts count="4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Calibri Light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5">
    <xf numFmtId="0" fontId="0" fillId="0" borderId="0"/>
    <xf numFmtId="0" fontId="1" fillId="0" borderId="0"/>
    <xf numFmtId="0" fontId="2" fillId="0" borderId="0"/>
    <xf numFmtId="43" fontId="2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7">
    <xf numFmtId="0" fontId="0" fillId="0" borderId="0" xfId="0"/>
    <xf numFmtId="0" fontId="1" fillId="0" borderId="0" xfId="1"/>
    <xf numFmtId="0" fontId="1" fillId="0" borderId="0" xfId="1" applyAlignment="1">
      <alignment horizontal="center"/>
    </xf>
    <xf numFmtId="1" fontId="1" fillId="0" borderId="0" xfId="1" applyNumberFormat="1"/>
    <xf numFmtId="0" fontId="1" fillId="0" borderId="0" xfId="1" quotePrefix="1"/>
    <xf numFmtId="164" fontId="1" fillId="0" borderId="0" xfId="4" applyNumberFormat="1" applyFont="1"/>
    <xf numFmtId="164" fontId="1" fillId="0" borderId="0" xfId="1" applyNumberFormat="1"/>
  </cellXfs>
  <cellStyles count="5">
    <cellStyle name="Comma 2" xfId="3" xr:uid="{7A07A871-E998-4341-B0C7-4CEC438D53CE}"/>
    <cellStyle name="Currency" xfId="4" builtinId="4"/>
    <cellStyle name="Normal" xfId="0" builtinId="0"/>
    <cellStyle name="Normal 3" xfId="1" xr:uid="{1C231F6B-5B2B-4FA7-B28E-C28F6945695E}"/>
    <cellStyle name="Normal 4" xfId="2" xr:uid="{FE16D9B7-0570-4819-8D69-448978D74736}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0" formatCode="General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" formatCode="0"/>
    </dxf>
    <dxf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</dxfs>
  <tableStyles count="1" defaultTableStyle="TableStyleMedium2" defaultPivotStyle="PivotStyleLight16">
    <tableStyle name="Table Style 1" pivot="0" count="0" xr9:uid="{60680DA2-1A72-43B6-B912-379F14393AE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79BE23-51BE-404D-B5AA-56D758C588CA}" name="Table1" displayName="Table1" ref="B2:S26" totalsRowShown="0" headerRowCellStyle="Normal 3" dataCellStyle="Normal 3">
  <autoFilter ref="B2:S26" xr:uid="{0979BE23-51BE-404D-B5AA-56D758C588CA}"/>
  <tableColumns count="18">
    <tableColumn id="1" xr3:uid="{00EE0E3A-EEF8-403C-BCA5-54243E5D21C8}" name="Customer ID" dataDxfId="11" dataCellStyle="Normal 3"/>
    <tableColumn id="2" xr3:uid="{0BAD2A07-1AF4-4388-94E8-867CE0DC79BE}" name="Customer Name" dataCellStyle="Normal 3"/>
    <tableColumn id="12" xr3:uid="{50A74798-C55A-460A-B3C6-F415DD111CBC}" name="First Name" dataCellStyle="Normal 3"/>
    <tableColumn id="11" xr3:uid="{46869573-E493-409B-867F-BF0D268C8AA1}" name="Last Name" dataCellStyle="Normal 3"/>
    <tableColumn id="3" xr3:uid="{88CCCC53-8ADF-4146-B27E-5AAD567DC28E}" name="Brand" dataCellStyle="Normal 3"/>
    <tableColumn id="4" xr3:uid="{002C8087-2829-4481-9B07-1C0849B2ED43}" name="Product" dataDxfId="10" dataCellStyle="Normal 3"/>
    <tableColumn id="23" xr3:uid="{EC645943-B476-489D-BDC9-59A21FAEB46C}" name="Location" dataCellStyle="Normal 3"/>
    <tableColumn id="14" xr3:uid="{17031326-EE87-409B-BEAA-F32243866AD9}" name="City" dataCellStyle="Normal 3"/>
    <tableColumn id="13" xr3:uid="{D3578E7C-1EDC-48F3-8C37-656C1F60628B}" name="Country" dataCellStyle="Normal 3"/>
    <tableColumn id="6" xr3:uid="{3E53B1B3-DBF1-4622-88EC-BB163ADDA83C}" name="Quantity" dataDxfId="9" dataCellStyle="Normal 3"/>
    <tableColumn id="7" xr3:uid="{15C1E39B-64BF-4601-B56F-4EE5DFC62319}" name="Price" dataDxfId="8" dataCellStyle="Currency"/>
    <tableColumn id="8" xr3:uid="{CACEAA88-D2E3-4105-8C27-16962DA6B7F0}" name="Cost per unit" dataCellStyle="Normal 3"/>
    <tableColumn id="16" xr3:uid="{5CBE02B6-9F7E-435A-A872-CCAF1A7C14F0}" name="Revenue" dataDxfId="7" dataCellStyle="Normal 3">
      <calculatedColumnFormula>Table1[[#This Row],[Quantity]]*Table1[[#This Row],[Price]]</calculatedColumnFormula>
    </tableColumn>
    <tableColumn id="17" xr3:uid="{4662F623-4D10-45F1-836B-72F94DC75A44}" name="Cost" dataDxfId="6" dataCellStyle="Normal 3">
      <calculatedColumnFormula>Table1[[#This Row],[Cost per unit]]*Table1[[#This Row],[Quantity]]</calculatedColumnFormula>
    </tableColumn>
    <tableColumn id="18" xr3:uid="{BD5FAFAB-15E0-40C8-8AB3-DDE56857DB2A}" name="Profit" dataDxfId="5" dataCellStyle="Normal 3">
      <calculatedColumnFormula>Table1[[#This Row],[Revenue]]-Table1[[#This Row],[Cost]]</calculatedColumnFormula>
    </tableColumn>
    <tableColumn id="19" xr3:uid="{6283D734-2EBA-4EF5-BFAB-DB818C5E8743}" name="5% Discount" dataDxfId="4" dataCellStyle="Normal 3">
      <calculatedColumnFormula>Table1[[#This Row],[Revenue]]*5%</calculatedColumnFormula>
    </tableColumn>
    <tableColumn id="20" xr3:uid="{5735E8DB-6287-412F-9BC5-5496F782D4A0}" name="7% Discount" dataDxfId="3" dataCellStyle="Normal 3">
      <calculatedColumnFormula>Table1[[#This Row],[Revenue]]*7%</calculatedColumnFormula>
    </tableColumn>
    <tableColumn id="21" xr3:uid="{320E1327-3082-4FC3-8F06-A71D51D70AD9}" name="10% Discount" dataDxfId="2" dataCellStyle="Normal 3">
      <calculatedColumnFormula>Table1[[#This Row],[Revenue]]*10%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A94A9-6236-46F5-9BD0-29F1A41C27FA}">
  <dimension ref="B2:I28"/>
  <sheetViews>
    <sheetView zoomScaleNormal="100" workbookViewId="0">
      <selection activeCell="I13" sqref="I13"/>
    </sheetView>
  </sheetViews>
  <sheetFormatPr defaultColWidth="12.21875" defaultRowHeight="15.6" x14ac:dyDescent="0.3"/>
  <cols>
    <col min="1" max="1" width="8.33203125" style="1" customWidth="1"/>
    <col min="2" max="2" width="12.21875" style="1"/>
    <col min="3" max="3" width="18.77734375" style="1" customWidth="1"/>
    <col min="4" max="4" width="19.21875" style="1" customWidth="1"/>
    <col min="5" max="5" width="15.109375" style="1" bestFit="1" customWidth="1"/>
    <col min="6" max="6" width="18.44140625" style="1" bestFit="1" customWidth="1"/>
    <col min="7" max="7" width="12.21875" style="1"/>
    <col min="8" max="8" width="7.109375" style="1" bestFit="1" customWidth="1"/>
    <col min="9" max="9" width="24.77734375" style="1" customWidth="1"/>
    <col min="10" max="16384" width="12.21875" style="1"/>
  </cols>
  <sheetData>
    <row r="2" spans="2:9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</row>
    <row r="3" spans="2:9" x14ac:dyDescent="0.3">
      <c r="B3" s="2">
        <v>1295</v>
      </c>
      <c r="C3" s="1" t="s">
        <v>8</v>
      </c>
      <c r="D3" s="1" t="s">
        <v>9</v>
      </c>
      <c r="E3" s="1" t="s">
        <v>10</v>
      </c>
      <c r="F3" s="1" t="s">
        <v>11</v>
      </c>
      <c r="G3" s="3">
        <v>6870</v>
      </c>
      <c r="H3" s="1" t="s">
        <v>12</v>
      </c>
      <c r="I3" s="1">
        <v>51</v>
      </c>
    </row>
    <row r="4" spans="2:9" x14ac:dyDescent="0.3">
      <c r="B4" s="2">
        <v>1298</v>
      </c>
      <c r="C4" s="1" t="s">
        <v>13</v>
      </c>
      <c r="D4" s="1" t="s">
        <v>14</v>
      </c>
      <c r="E4" s="1" t="s">
        <v>15</v>
      </c>
      <c r="F4" s="1" t="s">
        <v>16</v>
      </c>
      <c r="G4" s="3">
        <v>3125</v>
      </c>
      <c r="H4" s="1" t="s">
        <v>17</v>
      </c>
      <c r="I4" s="4" t="s">
        <v>18</v>
      </c>
    </row>
    <row r="5" spans="2:9" x14ac:dyDescent="0.3">
      <c r="B5" s="2">
        <v>1301</v>
      </c>
      <c r="C5" s="1" t="s">
        <v>19</v>
      </c>
      <c r="D5" s="1" t="s">
        <v>20</v>
      </c>
      <c r="E5" s="1" t="s">
        <v>21</v>
      </c>
      <c r="F5" s="1" t="s">
        <v>22</v>
      </c>
      <c r="G5" s="3">
        <v>5526</v>
      </c>
      <c r="H5" s="1" t="s">
        <v>23</v>
      </c>
      <c r="I5" s="1">
        <v>56</v>
      </c>
    </row>
    <row r="6" spans="2:9" x14ac:dyDescent="0.3">
      <c r="B6" s="2">
        <v>1304</v>
      </c>
      <c r="C6" s="1" t="s">
        <v>24</v>
      </c>
      <c r="D6" s="1" t="s">
        <v>25</v>
      </c>
      <c r="E6" s="1" t="s">
        <v>26</v>
      </c>
      <c r="F6" s="1" t="s">
        <v>27</v>
      </c>
      <c r="G6" s="3">
        <v>3706</v>
      </c>
      <c r="H6" s="1" t="s">
        <v>28</v>
      </c>
      <c r="I6" s="1">
        <v>25</v>
      </c>
    </row>
    <row r="7" spans="2:9" x14ac:dyDescent="0.3">
      <c r="B7" s="2">
        <v>1307</v>
      </c>
      <c r="C7" s="1" t="s">
        <v>29</v>
      </c>
      <c r="F7" s="1" t="s">
        <v>27</v>
      </c>
      <c r="G7" s="3">
        <v>3459</v>
      </c>
      <c r="H7" s="1" t="s">
        <v>30</v>
      </c>
      <c r="I7" s="1">
        <v>27</v>
      </c>
    </row>
    <row r="8" spans="2:9" x14ac:dyDescent="0.3">
      <c r="B8" s="2">
        <v>1310</v>
      </c>
      <c r="C8" s="1" t="s">
        <v>31</v>
      </c>
      <c r="D8" s="1" t="s">
        <v>32</v>
      </c>
      <c r="E8" s="1" t="s">
        <v>33</v>
      </c>
      <c r="F8" s="1" t="s">
        <v>11</v>
      </c>
      <c r="G8" s="3">
        <v>3210</v>
      </c>
      <c r="H8" s="1" t="s">
        <v>34</v>
      </c>
      <c r="I8" s="4" t="s">
        <v>35</v>
      </c>
    </row>
    <row r="9" spans="2:9" x14ac:dyDescent="0.3">
      <c r="B9" s="2">
        <v>1313</v>
      </c>
      <c r="C9" s="1" t="s">
        <v>36</v>
      </c>
      <c r="D9" s="1" t="s">
        <v>37</v>
      </c>
      <c r="E9" s="1" t="s">
        <v>38</v>
      </c>
      <c r="F9" s="1" t="s">
        <v>11</v>
      </c>
      <c r="G9" s="3">
        <v>2844</v>
      </c>
      <c r="H9" s="1" t="s">
        <v>39</v>
      </c>
      <c r="I9" s="1">
        <v>59</v>
      </c>
    </row>
    <row r="10" spans="2:9" x14ac:dyDescent="0.3">
      <c r="B10" s="2"/>
      <c r="G10" s="3"/>
    </row>
    <row r="11" spans="2:9" x14ac:dyDescent="0.3">
      <c r="B11" s="2">
        <v>1316</v>
      </c>
      <c r="C11" s="1" t="s">
        <v>40</v>
      </c>
      <c r="D11" s="1" t="s">
        <v>37</v>
      </c>
      <c r="E11" s="1" t="s">
        <v>41</v>
      </c>
      <c r="F11" s="1" t="s">
        <v>42</v>
      </c>
      <c r="G11" s="3">
        <v>4613</v>
      </c>
      <c r="H11" s="1" t="s">
        <v>43</v>
      </c>
      <c r="I11" s="1">
        <v>30</v>
      </c>
    </row>
    <row r="12" spans="2:9" x14ac:dyDescent="0.3">
      <c r="B12" s="2">
        <v>1319</v>
      </c>
      <c r="C12" s="1" t="s">
        <v>44</v>
      </c>
      <c r="D12" s="1" t="s">
        <v>32</v>
      </c>
      <c r="E12" s="1" t="s">
        <v>33</v>
      </c>
      <c r="F12" s="1" t="s">
        <v>42</v>
      </c>
      <c r="G12" s="3">
        <v>3830</v>
      </c>
      <c r="H12" s="1" t="s">
        <v>45</v>
      </c>
      <c r="I12" s="1">
        <v>72</v>
      </c>
    </row>
    <row r="13" spans="2:9" x14ac:dyDescent="0.3">
      <c r="B13" s="2">
        <v>1322</v>
      </c>
      <c r="C13" s="1" t="s">
        <v>46</v>
      </c>
      <c r="D13" s="1" t="s">
        <v>32</v>
      </c>
      <c r="E13" s="1" t="s">
        <v>33</v>
      </c>
      <c r="F13" s="1" t="s">
        <v>16</v>
      </c>
      <c r="G13" s="3">
        <v>3594</v>
      </c>
      <c r="H13" s="1" t="s">
        <v>47</v>
      </c>
      <c r="I13" s="1">
        <v>68</v>
      </c>
    </row>
    <row r="14" spans="2:9" x14ac:dyDescent="0.3">
      <c r="B14" s="2">
        <v>1325</v>
      </c>
      <c r="C14" s="1" t="s">
        <v>48</v>
      </c>
      <c r="D14" s="1" t="s">
        <v>37</v>
      </c>
      <c r="E14" s="1" t="s">
        <v>49</v>
      </c>
      <c r="F14" s="1" t="s">
        <v>42</v>
      </c>
      <c r="G14" s="3">
        <v>6852</v>
      </c>
      <c r="H14" s="1" t="s">
        <v>12</v>
      </c>
      <c r="I14" s="1">
        <v>25</v>
      </c>
    </row>
    <row r="15" spans="2:9" x14ac:dyDescent="0.3">
      <c r="B15" s="2">
        <v>1328</v>
      </c>
      <c r="D15" s="1" t="s">
        <v>37</v>
      </c>
      <c r="E15" s="1" t="s">
        <v>49</v>
      </c>
      <c r="F15" s="1" t="s">
        <v>42</v>
      </c>
      <c r="G15" s="3">
        <v>3775</v>
      </c>
      <c r="H15" s="1" t="s">
        <v>17</v>
      </c>
      <c r="I15" s="4" t="s">
        <v>50</v>
      </c>
    </row>
    <row r="16" spans="2:9" x14ac:dyDescent="0.3">
      <c r="B16" s="2">
        <v>1331</v>
      </c>
      <c r="C16" s="1" t="s">
        <v>51</v>
      </c>
      <c r="D16" s="1" t="s">
        <v>32</v>
      </c>
      <c r="E16" s="1" t="s">
        <v>33</v>
      </c>
      <c r="F16" s="1" t="s">
        <v>42</v>
      </c>
      <c r="G16" s="3">
        <v>6422</v>
      </c>
      <c r="H16" s="1" t="s">
        <v>23</v>
      </c>
      <c r="I16" s="1">
        <v>26</v>
      </c>
    </row>
    <row r="17" spans="2:9" x14ac:dyDescent="0.3">
      <c r="B17" s="2">
        <v>1334</v>
      </c>
      <c r="C17" s="1" t="s">
        <v>52</v>
      </c>
      <c r="D17" s="1" t="s">
        <v>37</v>
      </c>
      <c r="E17" s="1" t="s">
        <v>41</v>
      </c>
      <c r="F17" s="1" t="s">
        <v>16</v>
      </c>
      <c r="G17" s="3">
        <v>2187</v>
      </c>
      <c r="H17" s="1" t="s">
        <v>28</v>
      </c>
      <c r="I17" s="1">
        <v>34</v>
      </c>
    </row>
    <row r="18" spans="2:9" x14ac:dyDescent="0.3">
      <c r="B18" s="2">
        <v>1337</v>
      </c>
      <c r="C18" s="1" t="s">
        <v>53</v>
      </c>
      <c r="D18" s="1" t="s">
        <v>37</v>
      </c>
      <c r="E18" s="1" t="s">
        <v>41</v>
      </c>
      <c r="F18" s="1" t="s">
        <v>54</v>
      </c>
      <c r="G18" s="3">
        <v>2156</v>
      </c>
      <c r="H18" s="1" t="s">
        <v>30</v>
      </c>
      <c r="I18" s="1">
        <v>26</v>
      </c>
    </row>
    <row r="19" spans="2:9" x14ac:dyDescent="0.3">
      <c r="B19" s="2">
        <v>1340</v>
      </c>
      <c r="C19" s="1" t="s">
        <v>55</v>
      </c>
      <c r="D19" s="1" t="s">
        <v>56</v>
      </c>
      <c r="E19" s="1" t="s">
        <v>57</v>
      </c>
      <c r="F19" s="1" t="s">
        <v>54</v>
      </c>
      <c r="G19" s="3">
        <v>2492</v>
      </c>
      <c r="H19" s="1" t="s">
        <v>34</v>
      </c>
      <c r="I19" s="4" t="s">
        <v>58</v>
      </c>
    </row>
    <row r="20" spans="2:9" x14ac:dyDescent="0.3">
      <c r="B20" s="2"/>
      <c r="G20" s="3"/>
      <c r="I20" s="4"/>
    </row>
    <row r="21" spans="2:9" x14ac:dyDescent="0.3">
      <c r="B21" s="2">
        <v>1343</v>
      </c>
      <c r="C21" s="1" t="s">
        <v>59</v>
      </c>
      <c r="E21" s="1" t="s">
        <v>60</v>
      </c>
      <c r="F21" s="1" t="s">
        <v>54</v>
      </c>
      <c r="G21" s="3">
        <v>6829</v>
      </c>
      <c r="H21" s="1" t="s">
        <v>39</v>
      </c>
      <c r="I21" s="1">
        <v>30</v>
      </c>
    </row>
    <row r="22" spans="2:9" x14ac:dyDescent="0.3">
      <c r="B22" s="2">
        <v>1346</v>
      </c>
      <c r="C22" s="1" t="s">
        <v>61</v>
      </c>
      <c r="D22" s="1" t="s">
        <v>56</v>
      </c>
      <c r="E22" s="1" t="s">
        <v>57</v>
      </c>
      <c r="F22" s="1" t="s">
        <v>54</v>
      </c>
      <c r="G22" s="3">
        <v>4143</v>
      </c>
      <c r="H22" s="1" t="s">
        <v>43</v>
      </c>
      <c r="I22" s="1">
        <v>47</v>
      </c>
    </row>
    <row r="23" spans="2:9" x14ac:dyDescent="0.3">
      <c r="B23" s="2">
        <v>1349</v>
      </c>
      <c r="C23" s="1" t="s">
        <v>62</v>
      </c>
      <c r="D23" s="1" t="s">
        <v>56</v>
      </c>
      <c r="E23" s="1" t="s">
        <v>57</v>
      </c>
      <c r="F23" s="1" t="s">
        <v>54</v>
      </c>
      <c r="G23" s="3">
        <v>5452</v>
      </c>
      <c r="H23" s="1" t="s">
        <v>45</v>
      </c>
      <c r="I23" s="1">
        <v>23</v>
      </c>
    </row>
    <row r="24" spans="2:9" x14ac:dyDescent="0.3">
      <c r="B24" s="2">
        <v>1352</v>
      </c>
      <c r="C24" s="1" t="s">
        <v>63</v>
      </c>
      <c r="D24" s="1" t="s">
        <v>37</v>
      </c>
      <c r="E24" s="1" t="s">
        <v>38</v>
      </c>
      <c r="F24" s="1" t="s">
        <v>27</v>
      </c>
      <c r="G24" s="3">
        <v>2933</v>
      </c>
      <c r="H24" s="1" t="s">
        <v>47</v>
      </c>
      <c r="I24" s="1">
        <v>50</v>
      </c>
    </row>
    <row r="25" spans="2:9" x14ac:dyDescent="0.3">
      <c r="B25" s="2">
        <v>1355</v>
      </c>
      <c r="C25" s="1" t="s">
        <v>64</v>
      </c>
      <c r="D25" s="1" t="s">
        <v>9</v>
      </c>
      <c r="E25" s="1" t="s">
        <v>26</v>
      </c>
      <c r="F25" s="1" t="s">
        <v>65</v>
      </c>
      <c r="G25" s="3">
        <v>6222</v>
      </c>
      <c r="H25" s="1" t="s">
        <v>12</v>
      </c>
      <c r="I25" s="1">
        <v>45</v>
      </c>
    </row>
    <row r="26" spans="2:9" x14ac:dyDescent="0.3">
      <c r="B26" s="2">
        <v>1358</v>
      </c>
      <c r="E26" s="1" t="s">
        <v>26</v>
      </c>
      <c r="F26" s="1" t="s">
        <v>65</v>
      </c>
      <c r="G26" s="3">
        <v>5611</v>
      </c>
      <c r="H26" s="1" t="s">
        <v>17</v>
      </c>
      <c r="I26" s="1">
        <v>20</v>
      </c>
    </row>
    <row r="27" spans="2:9" x14ac:dyDescent="0.3">
      <c r="B27" s="2">
        <v>1361</v>
      </c>
      <c r="C27" s="1" t="s">
        <v>66</v>
      </c>
      <c r="D27" s="1" t="s">
        <v>9</v>
      </c>
      <c r="E27" s="1" t="s">
        <v>67</v>
      </c>
      <c r="F27" s="1" t="s">
        <v>27</v>
      </c>
      <c r="G27" s="3">
        <v>5396</v>
      </c>
      <c r="H27" s="1" t="s">
        <v>23</v>
      </c>
      <c r="I27" s="1">
        <v>50</v>
      </c>
    </row>
    <row r="28" spans="2:9" x14ac:dyDescent="0.3">
      <c r="B28" s="2">
        <v>1364</v>
      </c>
      <c r="C28" s="1" t="s">
        <v>68</v>
      </c>
      <c r="D28" s="1" t="s">
        <v>9</v>
      </c>
      <c r="E28" s="1" t="s">
        <v>67</v>
      </c>
      <c r="F28" s="1" t="s">
        <v>16</v>
      </c>
      <c r="G28" s="3">
        <v>3036</v>
      </c>
      <c r="H28" s="1" t="s">
        <v>28</v>
      </c>
      <c r="I28" s="1">
        <v>34</v>
      </c>
    </row>
  </sheetData>
  <conditionalFormatting sqref="C1:C1048576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59F0F-C222-4B22-B88D-88EFFD7A2225}">
  <dimension ref="B2:S26"/>
  <sheetViews>
    <sheetView tabSelected="1" topLeftCell="C1" zoomScaleNormal="100" workbookViewId="0">
      <selection activeCell="T11" sqref="T11"/>
    </sheetView>
  </sheetViews>
  <sheetFormatPr defaultColWidth="12.21875" defaultRowHeight="15.6" x14ac:dyDescent="0.3"/>
  <cols>
    <col min="1" max="1" width="8.33203125" style="1" customWidth="1"/>
    <col min="2" max="2" width="5.44140625" style="1" customWidth="1"/>
    <col min="3" max="3" width="19.21875" style="1" bestFit="1" customWidth="1"/>
    <col min="4" max="4" width="8.44140625" style="1" bestFit="1" customWidth="1"/>
    <col min="5" max="5" width="12.5546875" style="1" bestFit="1" customWidth="1"/>
    <col min="6" max="6" width="12.77734375" style="1" bestFit="1" customWidth="1"/>
    <col min="7" max="7" width="15.44140625" style="1" bestFit="1" customWidth="1"/>
    <col min="8" max="8" width="16.6640625" style="1" customWidth="1"/>
    <col min="9" max="9" width="7.5546875" style="1" bestFit="1" customWidth="1"/>
    <col min="10" max="10" width="9.109375" style="1" bestFit="1" customWidth="1"/>
    <col min="11" max="11" width="5.44140625" style="1" bestFit="1" customWidth="1"/>
    <col min="12" max="12" width="9.33203125" style="1" bestFit="1" customWidth="1"/>
    <col min="13" max="13" width="3.21875" style="1" bestFit="1" customWidth="1"/>
    <col min="14" max="14" width="15" style="1" bestFit="1" customWidth="1"/>
    <col min="15" max="15" width="7.6640625" style="1" bestFit="1" customWidth="1"/>
    <col min="16" max="16" width="15" style="1" bestFit="1" customWidth="1"/>
    <col min="17" max="18" width="12.109375" style="1" bestFit="1" customWidth="1"/>
    <col min="19" max="19" width="13.33203125" style="1" bestFit="1" customWidth="1"/>
    <col min="20" max="16384" width="12.21875" style="1"/>
  </cols>
  <sheetData>
    <row r="2" spans="2:19" x14ac:dyDescent="0.3">
      <c r="B2" s="1" t="s">
        <v>0</v>
      </c>
      <c r="C2" s="1" t="s">
        <v>1</v>
      </c>
      <c r="D2" s="1" t="s">
        <v>70</v>
      </c>
      <c r="E2" s="1" t="s">
        <v>71</v>
      </c>
      <c r="F2" s="1" t="s">
        <v>2</v>
      </c>
      <c r="G2" s="1" t="s">
        <v>3</v>
      </c>
      <c r="H2" s="1" t="s">
        <v>4</v>
      </c>
      <c r="I2" s="1" t="s">
        <v>125</v>
      </c>
      <c r="J2" s="1" t="s">
        <v>126</v>
      </c>
      <c r="K2" s="1" t="s">
        <v>5</v>
      </c>
      <c r="L2" s="1" t="s">
        <v>6</v>
      </c>
      <c r="M2" s="1" t="s">
        <v>7</v>
      </c>
      <c r="N2" s="1" t="s">
        <v>139</v>
      </c>
      <c r="O2" s="1" t="s">
        <v>140</v>
      </c>
      <c r="P2" s="1" t="s">
        <v>141</v>
      </c>
      <c r="Q2" s="1" t="s">
        <v>142</v>
      </c>
      <c r="R2" s="1" t="s">
        <v>143</v>
      </c>
      <c r="S2" s="1" t="s">
        <v>144</v>
      </c>
    </row>
    <row r="3" spans="2:19" x14ac:dyDescent="0.3">
      <c r="B3" s="2">
        <v>1295</v>
      </c>
      <c r="C3" s="1" t="s">
        <v>8</v>
      </c>
      <c r="D3" s="1" t="s">
        <v>72</v>
      </c>
      <c r="E3" s="1" t="s">
        <v>94</v>
      </c>
      <c r="F3" s="1" t="s">
        <v>9</v>
      </c>
      <c r="G3" s="1" t="s">
        <v>116</v>
      </c>
      <c r="H3" s="1" t="s">
        <v>145</v>
      </c>
      <c r="I3" s="1" t="s">
        <v>127</v>
      </c>
      <c r="J3" s="1" t="s">
        <v>133</v>
      </c>
      <c r="K3" s="3">
        <v>6870</v>
      </c>
      <c r="L3" s="5">
        <v>122.79</v>
      </c>
      <c r="M3" s="1">
        <v>51</v>
      </c>
      <c r="N3" s="6">
        <f>Table1[[#This Row],[Quantity]]*Table1[[#This Row],[Price]]</f>
        <v>843567.3</v>
      </c>
      <c r="O3" s="1">
        <f>Table1[[#This Row],[Cost per unit]]*Table1[[#This Row],[Quantity]]</f>
        <v>350370</v>
      </c>
      <c r="P3" s="6">
        <f>Table1[[#This Row],[Revenue]]-Table1[[#This Row],[Cost]]</f>
        <v>493197.30000000005</v>
      </c>
      <c r="Q3" s="6">
        <f>Table1[[#This Row],[Revenue]]*5%</f>
        <v>42178.365000000005</v>
      </c>
      <c r="R3" s="6">
        <f>Table1[[#This Row],[Revenue]]*7%</f>
        <v>59049.71100000001</v>
      </c>
      <c r="S3" s="6">
        <f>Table1[[#This Row],[Revenue]]*10%</f>
        <v>84356.73000000001</v>
      </c>
    </row>
    <row r="4" spans="2:19" x14ac:dyDescent="0.3">
      <c r="B4" s="2">
        <v>1298</v>
      </c>
      <c r="C4" s="1" t="s">
        <v>13</v>
      </c>
      <c r="D4" s="1" t="s">
        <v>73</v>
      </c>
      <c r="E4" s="1" t="s">
        <v>95</v>
      </c>
      <c r="F4" s="1" t="s">
        <v>14</v>
      </c>
      <c r="G4" s="1" t="s">
        <v>117</v>
      </c>
      <c r="H4" s="1" t="s">
        <v>16</v>
      </c>
      <c r="I4" s="1" t="s">
        <v>128</v>
      </c>
      <c r="J4" s="1" t="s">
        <v>134</v>
      </c>
      <c r="K4" s="3">
        <v>3125</v>
      </c>
      <c r="L4" s="5">
        <v>204.62</v>
      </c>
      <c r="M4" s="4">
        <v>43</v>
      </c>
      <c r="N4" s="6">
        <f>Table1[[#This Row],[Quantity]]*Table1[[#This Row],[Price]]</f>
        <v>639437.5</v>
      </c>
      <c r="O4" s="1">
        <f>Table1[[#This Row],[Cost per unit]]*Table1[[#This Row],[Quantity]]</f>
        <v>134375</v>
      </c>
      <c r="P4" s="6">
        <f>Table1[[#This Row],[Revenue]]-Table1[[#This Row],[Cost]]</f>
        <v>505062.5</v>
      </c>
      <c r="Q4" s="6">
        <f>Table1[[#This Row],[Revenue]]*5%</f>
        <v>31971.875</v>
      </c>
      <c r="R4" s="6">
        <f>Table1[[#This Row],[Revenue]]*7%</f>
        <v>44760.625000000007</v>
      </c>
      <c r="S4" s="6">
        <f>Table1[[#This Row],[Revenue]]*10%</f>
        <v>63943.75</v>
      </c>
    </row>
    <row r="5" spans="2:19" x14ac:dyDescent="0.3">
      <c r="B5" s="2">
        <v>1301</v>
      </c>
      <c r="C5" s="1" t="s">
        <v>19</v>
      </c>
      <c r="D5" s="1" t="s">
        <v>74</v>
      </c>
      <c r="E5" s="1" t="s">
        <v>96</v>
      </c>
      <c r="F5" s="1" t="s">
        <v>9</v>
      </c>
      <c r="G5" s="1" t="s">
        <v>118</v>
      </c>
      <c r="H5" s="1" t="s">
        <v>147</v>
      </c>
      <c r="I5" s="1" t="s">
        <v>129</v>
      </c>
      <c r="J5" s="1" t="s">
        <v>135</v>
      </c>
      <c r="K5" s="3">
        <v>5526</v>
      </c>
      <c r="L5" s="5">
        <v>122.76</v>
      </c>
      <c r="M5" s="1">
        <v>56</v>
      </c>
      <c r="N5" s="6">
        <f>Table1[[#This Row],[Quantity]]*Table1[[#This Row],[Price]]</f>
        <v>678371.76</v>
      </c>
      <c r="O5" s="1">
        <f>Table1[[#This Row],[Cost per unit]]*Table1[[#This Row],[Quantity]]</f>
        <v>309456</v>
      </c>
      <c r="P5" s="6">
        <f>Table1[[#This Row],[Revenue]]-Table1[[#This Row],[Cost]]</f>
        <v>368915.76</v>
      </c>
      <c r="Q5" s="6">
        <f>Table1[[#This Row],[Revenue]]*5%</f>
        <v>33918.588000000003</v>
      </c>
      <c r="R5" s="6">
        <f>Table1[[#This Row],[Revenue]]*7%</f>
        <v>47486.023200000003</v>
      </c>
      <c r="S5" s="6">
        <f>Table1[[#This Row],[Revenue]]*10%</f>
        <v>67837.176000000007</v>
      </c>
    </row>
    <row r="6" spans="2:19" x14ac:dyDescent="0.3">
      <c r="B6" s="2">
        <v>1304</v>
      </c>
      <c r="C6" s="1" t="s">
        <v>24</v>
      </c>
      <c r="D6" s="1" t="s">
        <v>75</v>
      </c>
      <c r="E6" s="1" t="s">
        <v>97</v>
      </c>
      <c r="F6" s="1" t="s">
        <v>9</v>
      </c>
      <c r="G6" s="1" t="s">
        <v>119</v>
      </c>
      <c r="H6" s="1" t="s">
        <v>148</v>
      </c>
      <c r="I6" s="1" t="s">
        <v>130</v>
      </c>
      <c r="J6" s="1" t="s">
        <v>136</v>
      </c>
      <c r="K6" s="3">
        <v>3706</v>
      </c>
      <c r="L6" s="5">
        <v>81.599999999999994</v>
      </c>
      <c r="M6" s="1">
        <v>25</v>
      </c>
      <c r="N6" s="6">
        <f>Table1[[#This Row],[Quantity]]*Table1[[#This Row],[Price]]</f>
        <v>302409.59999999998</v>
      </c>
      <c r="O6" s="1">
        <f>Table1[[#This Row],[Cost per unit]]*Table1[[#This Row],[Quantity]]</f>
        <v>92650</v>
      </c>
      <c r="P6" s="6">
        <f>Table1[[#This Row],[Revenue]]-Table1[[#This Row],[Cost]]</f>
        <v>209759.59999999998</v>
      </c>
      <c r="Q6" s="6">
        <f>Table1[[#This Row],[Revenue]]*5%</f>
        <v>15120.48</v>
      </c>
      <c r="R6" s="6">
        <f>Table1[[#This Row],[Revenue]]*7%</f>
        <v>21168.671999999999</v>
      </c>
      <c r="S6" s="6">
        <f>Table1[[#This Row],[Revenue]]*10%</f>
        <v>30240.959999999999</v>
      </c>
    </row>
    <row r="7" spans="2:19" x14ac:dyDescent="0.3">
      <c r="B7" s="2">
        <v>1307</v>
      </c>
      <c r="C7" s="1" t="s">
        <v>29</v>
      </c>
      <c r="D7" s="1" t="s">
        <v>76</v>
      </c>
      <c r="E7" s="1" t="s">
        <v>98</v>
      </c>
      <c r="F7" s="1" t="s">
        <v>69</v>
      </c>
      <c r="G7" s="1" t="s">
        <v>69</v>
      </c>
      <c r="H7" s="1" t="s">
        <v>148</v>
      </c>
      <c r="I7" s="1" t="s">
        <v>130</v>
      </c>
      <c r="J7" s="1" t="s">
        <v>136</v>
      </c>
      <c r="K7" s="3">
        <v>3459</v>
      </c>
      <c r="L7" s="5">
        <v>54.67</v>
      </c>
      <c r="M7" s="1">
        <v>27</v>
      </c>
      <c r="N7" s="6">
        <f>Table1[[#This Row],[Quantity]]*Table1[[#This Row],[Price]]</f>
        <v>189103.53</v>
      </c>
      <c r="O7" s="1">
        <f>Table1[[#This Row],[Cost per unit]]*Table1[[#This Row],[Quantity]]</f>
        <v>93393</v>
      </c>
      <c r="P7" s="6">
        <f>Table1[[#This Row],[Revenue]]-Table1[[#This Row],[Cost]]</f>
        <v>95710.53</v>
      </c>
      <c r="Q7" s="6">
        <f>Table1[[#This Row],[Revenue]]*5%</f>
        <v>9455.1764999999996</v>
      </c>
      <c r="R7" s="6">
        <f>Table1[[#This Row],[Revenue]]*7%</f>
        <v>13237.247100000001</v>
      </c>
      <c r="S7" s="6">
        <f>Table1[[#This Row],[Revenue]]*10%</f>
        <v>18910.352999999999</v>
      </c>
    </row>
    <row r="8" spans="2:19" x14ac:dyDescent="0.3">
      <c r="B8" s="2">
        <v>1310</v>
      </c>
      <c r="C8" s="1" t="s">
        <v>31</v>
      </c>
      <c r="D8" s="1" t="s">
        <v>77</v>
      </c>
      <c r="E8" s="1" t="s">
        <v>99</v>
      </c>
      <c r="F8" s="1" t="s">
        <v>32</v>
      </c>
      <c r="G8" s="1" t="s">
        <v>120</v>
      </c>
      <c r="H8" s="1" t="s">
        <v>145</v>
      </c>
      <c r="I8" s="1" t="s">
        <v>127</v>
      </c>
      <c r="J8" s="1" t="s">
        <v>133</v>
      </c>
      <c r="K8" s="3">
        <v>3210</v>
      </c>
      <c r="L8" s="5">
        <v>203.79</v>
      </c>
      <c r="M8" s="4">
        <v>56</v>
      </c>
      <c r="N8" s="6">
        <f>Table1[[#This Row],[Quantity]]*Table1[[#This Row],[Price]]</f>
        <v>654165.9</v>
      </c>
      <c r="O8" s="1">
        <f>Table1[[#This Row],[Cost per unit]]*Table1[[#This Row],[Quantity]]</f>
        <v>179760</v>
      </c>
      <c r="P8" s="6">
        <f>Table1[[#This Row],[Revenue]]-Table1[[#This Row],[Cost]]</f>
        <v>474405.9</v>
      </c>
      <c r="Q8" s="6">
        <f>Table1[[#This Row],[Revenue]]*5%</f>
        <v>32708.295000000002</v>
      </c>
      <c r="R8" s="6">
        <f>Table1[[#This Row],[Revenue]]*7%</f>
        <v>45791.613000000005</v>
      </c>
      <c r="S8" s="6">
        <f>Table1[[#This Row],[Revenue]]*10%</f>
        <v>65416.590000000004</v>
      </c>
    </row>
    <row r="9" spans="2:19" x14ac:dyDescent="0.3">
      <c r="B9" s="2">
        <v>1313</v>
      </c>
      <c r="C9" s="1" t="s">
        <v>36</v>
      </c>
      <c r="D9" s="1" t="s">
        <v>78</v>
      </c>
      <c r="E9" s="1" t="s">
        <v>100</v>
      </c>
      <c r="F9" s="1" t="s">
        <v>37</v>
      </c>
      <c r="G9" s="1" t="s">
        <v>38</v>
      </c>
      <c r="H9" s="1" t="s">
        <v>145</v>
      </c>
      <c r="I9" s="1" t="s">
        <v>127</v>
      </c>
      <c r="J9" s="1" t="s">
        <v>133</v>
      </c>
      <c r="K9" s="3">
        <v>2844</v>
      </c>
      <c r="L9" s="5">
        <v>122.77</v>
      </c>
      <c r="M9" s="1">
        <v>59</v>
      </c>
      <c r="N9" s="6">
        <f>Table1[[#This Row],[Quantity]]*Table1[[#This Row],[Price]]</f>
        <v>349157.88</v>
      </c>
      <c r="O9" s="1">
        <f>Table1[[#This Row],[Cost per unit]]*Table1[[#This Row],[Quantity]]</f>
        <v>167796</v>
      </c>
      <c r="P9" s="6">
        <f>Table1[[#This Row],[Revenue]]-Table1[[#This Row],[Cost]]</f>
        <v>181361.88</v>
      </c>
      <c r="Q9" s="6">
        <f>Table1[[#This Row],[Revenue]]*5%</f>
        <v>17457.894</v>
      </c>
      <c r="R9" s="6">
        <f>Table1[[#This Row],[Revenue]]*7%</f>
        <v>24441.051600000003</v>
      </c>
      <c r="S9" s="6">
        <f>Table1[[#This Row],[Revenue]]*10%</f>
        <v>34915.788</v>
      </c>
    </row>
    <row r="10" spans="2:19" x14ac:dyDescent="0.3">
      <c r="B10" s="2">
        <v>1316</v>
      </c>
      <c r="C10" s="1" t="s">
        <v>40</v>
      </c>
      <c r="D10" s="1" t="s">
        <v>79</v>
      </c>
      <c r="E10" s="1" t="s">
        <v>101</v>
      </c>
      <c r="F10" s="1" t="s">
        <v>37</v>
      </c>
      <c r="G10" s="1" t="s">
        <v>121</v>
      </c>
      <c r="H10" s="1" t="s">
        <v>149</v>
      </c>
      <c r="I10" s="1" t="s">
        <v>131</v>
      </c>
      <c r="J10" s="1" t="s">
        <v>137</v>
      </c>
      <c r="K10" s="3">
        <v>4613</v>
      </c>
      <c r="L10" s="5">
        <v>123.96</v>
      </c>
      <c r="M10" s="1">
        <v>30</v>
      </c>
      <c r="N10" s="6">
        <f>Table1[[#This Row],[Quantity]]*Table1[[#This Row],[Price]]</f>
        <v>571827.48</v>
      </c>
      <c r="O10" s="1">
        <f>Table1[[#This Row],[Cost per unit]]*Table1[[#This Row],[Quantity]]</f>
        <v>138390</v>
      </c>
      <c r="P10" s="6">
        <f>Table1[[#This Row],[Revenue]]-Table1[[#This Row],[Cost]]</f>
        <v>433437.48</v>
      </c>
      <c r="Q10" s="6">
        <f>Table1[[#This Row],[Revenue]]*5%</f>
        <v>28591.374</v>
      </c>
      <c r="R10" s="6">
        <f>Table1[[#This Row],[Revenue]]*7%</f>
        <v>40027.923600000002</v>
      </c>
      <c r="S10" s="6">
        <f>Table1[[#This Row],[Revenue]]*10%</f>
        <v>57182.748</v>
      </c>
    </row>
    <row r="11" spans="2:19" x14ac:dyDescent="0.3">
      <c r="B11" s="2">
        <v>1319</v>
      </c>
      <c r="C11" s="1" t="s">
        <v>44</v>
      </c>
      <c r="D11" s="1" t="s">
        <v>80</v>
      </c>
      <c r="E11" s="1" t="s">
        <v>102</v>
      </c>
      <c r="F11" s="1" t="s">
        <v>32</v>
      </c>
      <c r="G11" s="1" t="s">
        <v>120</v>
      </c>
      <c r="H11" s="1" t="s">
        <v>149</v>
      </c>
      <c r="I11" s="1" t="s">
        <v>131</v>
      </c>
      <c r="J11" s="1" t="s">
        <v>137</v>
      </c>
      <c r="K11" s="3">
        <v>3830</v>
      </c>
      <c r="L11" s="5">
        <v>206.97</v>
      </c>
      <c r="M11" s="1">
        <v>72</v>
      </c>
      <c r="N11" s="6">
        <f>Table1[[#This Row],[Quantity]]*Table1[[#This Row],[Price]]</f>
        <v>792695.1</v>
      </c>
      <c r="O11" s="1">
        <f>Table1[[#This Row],[Cost per unit]]*Table1[[#This Row],[Quantity]]</f>
        <v>275760</v>
      </c>
      <c r="P11" s="6">
        <f>Table1[[#This Row],[Revenue]]-Table1[[#This Row],[Cost]]</f>
        <v>516935.1</v>
      </c>
      <c r="Q11" s="6">
        <f>Table1[[#This Row],[Revenue]]*5%</f>
        <v>39634.755000000005</v>
      </c>
      <c r="R11" s="6">
        <f>Table1[[#This Row],[Revenue]]*7%</f>
        <v>55488.657000000007</v>
      </c>
      <c r="S11" s="6">
        <f>Table1[[#This Row],[Revenue]]*10%</f>
        <v>79269.510000000009</v>
      </c>
    </row>
    <row r="12" spans="2:19" x14ac:dyDescent="0.3">
      <c r="B12" s="2">
        <v>1322</v>
      </c>
      <c r="C12" s="1" t="s">
        <v>46</v>
      </c>
      <c r="D12" s="1" t="s">
        <v>81</v>
      </c>
      <c r="E12" s="1" t="s">
        <v>103</v>
      </c>
      <c r="F12" s="1" t="s">
        <v>32</v>
      </c>
      <c r="G12" s="1" t="s">
        <v>120</v>
      </c>
      <c r="H12" s="1" t="s">
        <v>16</v>
      </c>
      <c r="I12" s="1" t="s">
        <v>128</v>
      </c>
      <c r="J12" s="1" t="s">
        <v>134</v>
      </c>
      <c r="K12" s="3">
        <v>3594</v>
      </c>
      <c r="L12" s="5">
        <v>207.14</v>
      </c>
      <c r="M12" s="1">
        <v>68</v>
      </c>
      <c r="N12" s="6">
        <f>Table1[[#This Row],[Quantity]]*Table1[[#This Row],[Price]]</f>
        <v>744461.15999999992</v>
      </c>
      <c r="O12" s="1">
        <f>Table1[[#This Row],[Cost per unit]]*Table1[[#This Row],[Quantity]]</f>
        <v>244392</v>
      </c>
      <c r="P12" s="6">
        <f>Table1[[#This Row],[Revenue]]-Table1[[#This Row],[Cost]]</f>
        <v>500069.15999999992</v>
      </c>
      <c r="Q12" s="6">
        <f>Table1[[#This Row],[Revenue]]*5%</f>
        <v>37223.057999999997</v>
      </c>
      <c r="R12" s="6">
        <f>Table1[[#This Row],[Revenue]]*7%</f>
        <v>52112.281199999998</v>
      </c>
      <c r="S12" s="6">
        <f>Table1[[#This Row],[Revenue]]*10%</f>
        <v>74446.115999999995</v>
      </c>
    </row>
    <row r="13" spans="2:19" x14ac:dyDescent="0.3">
      <c r="B13" s="2">
        <v>1325</v>
      </c>
      <c r="C13" s="1" t="s">
        <v>48</v>
      </c>
      <c r="D13" s="1" t="s">
        <v>82</v>
      </c>
      <c r="E13" s="1" t="s">
        <v>104</v>
      </c>
      <c r="F13" s="1" t="s">
        <v>37</v>
      </c>
      <c r="G13" s="1" t="s">
        <v>122</v>
      </c>
      <c r="H13" s="1" t="s">
        <v>149</v>
      </c>
      <c r="I13" s="1" t="s">
        <v>131</v>
      </c>
      <c r="J13" s="1" t="s">
        <v>137</v>
      </c>
      <c r="K13" s="3">
        <v>6852</v>
      </c>
      <c r="L13" s="5">
        <v>122.79</v>
      </c>
      <c r="M13" s="1">
        <v>25</v>
      </c>
      <c r="N13" s="6">
        <f>Table1[[#This Row],[Quantity]]*Table1[[#This Row],[Price]]</f>
        <v>841357.08000000007</v>
      </c>
      <c r="O13" s="1">
        <f>Table1[[#This Row],[Cost per unit]]*Table1[[#This Row],[Quantity]]</f>
        <v>171300</v>
      </c>
      <c r="P13" s="6">
        <f>Table1[[#This Row],[Revenue]]-Table1[[#This Row],[Cost]]</f>
        <v>670057.08000000007</v>
      </c>
      <c r="Q13" s="6">
        <f>Table1[[#This Row],[Revenue]]*5%</f>
        <v>42067.854000000007</v>
      </c>
      <c r="R13" s="6">
        <f>Table1[[#This Row],[Revenue]]*7%</f>
        <v>58894.995600000009</v>
      </c>
      <c r="S13" s="6">
        <f>Table1[[#This Row],[Revenue]]*10%</f>
        <v>84135.708000000013</v>
      </c>
    </row>
    <row r="14" spans="2:19" x14ac:dyDescent="0.3">
      <c r="B14" s="2">
        <v>1328</v>
      </c>
      <c r="C14" s="1" t="s">
        <v>69</v>
      </c>
      <c r="D14" s="1" t="s">
        <v>69</v>
      </c>
      <c r="E14" s="1" t="s">
        <v>69</v>
      </c>
      <c r="F14" s="1" t="s">
        <v>37</v>
      </c>
      <c r="G14" s="1" t="s">
        <v>122</v>
      </c>
      <c r="H14" s="1" t="s">
        <v>149</v>
      </c>
      <c r="I14" s="1" t="s">
        <v>131</v>
      </c>
      <c r="J14" s="1" t="s">
        <v>137</v>
      </c>
      <c r="K14" s="3">
        <v>3775</v>
      </c>
      <c r="L14" s="5">
        <v>204.62</v>
      </c>
      <c r="M14" s="4">
        <v>37</v>
      </c>
      <c r="N14" s="6">
        <f>Table1[[#This Row],[Quantity]]*Table1[[#This Row],[Price]]</f>
        <v>772440.5</v>
      </c>
      <c r="O14" s="1">
        <f>Table1[[#This Row],[Cost per unit]]*Table1[[#This Row],[Quantity]]</f>
        <v>139675</v>
      </c>
      <c r="P14" s="6">
        <f>Table1[[#This Row],[Revenue]]-Table1[[#This Row],[Cost]]</f>
        <v>632765.5</v>
      </c>
      <c r="Q14" s="6">
        <f>Table1[[#This Row],[Revenue]]*5%</f>
        <v>38622.025000000001</v>
      </c>
      <c r="R14" s="6">
        <f>Table1[[#This Row],[Revenue]]*7%</f>
        <v>54070.835000000006</v>
      </c>
      <c r="S14" s="6">
        <f>Table1[[#This Row],[Revenue]]*10%</f>
        <v>77244.05</v>
      </c>
    </row>
    <row r="15" spans="2:19" x14ac:dyDescent="0.3">
      <c r="B15" s="2">
        <v>1331</v>
      </c>
      <c r="C15" s="1" t="s">
        <v>51</v>
      </c>
      <c r="D15" s="1" t="s">
        <v>83</v>
      </c>
      <c r="E15" s="1" t="s">
        <v>105</v>
      </c>
      <c r="F15" s="1" t="s">
        <v>32</v>
      </c>
      <c r="G15" s="1" t="s">
        <v>120</v>
      </c>
      <c r="H15" s="1" t="s">
        <v>149</v>
      </c>
      <c r="I15" s="1" t="s">
        <v>131</v>
      </c>
      <c r="J15" s="1" t="s">
        <v>137</v>
      </c>
      <c r="K15" s="3">
        <v>6422</v>
      </c>
      <c r="L15" s="5">
        <v>122.76</v>
      </c>
      <c r="M15" s="1">
        <v>26</v>
      </c>
      <c r="N15" s="6">
        <f>Table1[[#This Row],[Quantity]]*Table1[[#This Row],[Price]]</f>
        <v>788364.72000000009</v>
      </c>
      <c r="O15" s="1">
        <f>Table1[[#This Row],[Cost per unit]]*Table1[[#This Row],[Quantity]]</f>
        <v>166972</v>
      </c>
      <c r="P15" s="6">
        <f>Table1[[#This Row],[Revenue]]-Table1[[#This Row],[Cost]]</f>
        <v>621392.72000000009</v>
      </c>
      <c r="Q15" s="6">
        <f>Table1[[#This Row],[Revenue]]*5%</f>
        <v>39418.236000000004</v>
      </c>
      <c r="R15" s="6">
        <f>Table1[[#This Row],[Revenue]]*7%</f>
        <v>55185.530400000011</v>
      </c>
      <c r="S15" s="6">
        <f>Table1[[#This Row],[Revenue]]*10%</f>
        <v>78836.472000000009</v>
      </c>
    </row>
    <row r="16" spans="2:19" x14ac:dyDescent="0.3">
      <c r="B16" s="2">
        <v>1334</v>
      </c>
      <c r="C16" s="1" t="s">
        <v>52</v>
      </c>
      <c r="D16" s="1" t="s">
        <v>84</v>
      </c>
      <c r="E16" s="1" t="s">
        <v>106</v>
      </c>
      <c r="F16" s="1" t="s">
        <v>37</v>
      </c>
      <c r="G16" s="1" t="s">
        <v>121</v>
      </c>
      <c r="H16" s="1" t="s">
        <v>16</v>
      </c>
      <c r="I16" s="1" t="s">
        <v>128</v>
      </c>
      <c r="J16" s="1" t="s">
        <v>134</v>
      </c>
      <c r="K16" s="3">
        <v>2187</v>
      </c>
      <c r="L16" s="5">
        <v>81.599999999999994</v>
      </c>
      <c r="M16" s="1">
        <v>34</v>
      </c>
      <c r="N16" s="6">
        <f>Table1[[#This Row],[Quantity]]*Table1[[#This Row],[Price]]</f>
        <v>178459.19999999998</v>
      </c>
      <c r="O16" s="1">
        <f>Table1[[#This Row],[Cost per unit]]*Table1[[#This Row],[Quantity]]</f>
        <v>74358</v>
      </c>
      <c r="P16" s="6">
        <f>Table1[[#This Row],[Revenue]]-Table1[[#This Row],[Cost]]</f>
        <v>104101.19999999998</v>
      </c>
      <c r="Q16" s="6">
        <f>Table1[[#This Row],[Revenue]]*5%</f>
        <v>8922.9599999999991</v>
      </c>
      <c r="R16" s="6">
        <f>Table1[[#This Row],[Revenue]]*7%</f>
        <v>12492.144</v>
      </c>
      <c r="S16" s="6">
        <f>Table1[[#This Row],[Revenue]]*10%</f>
        <v>17845.919999999998</v>
      </c>
    </row>
    <row r="17" spans="2:19" x14ac:dyDescent="0.3">
      <c r="B17" s="2">
        <v>1337</v>
      </c>
      <c r="C17" s="1" t="s">
        <v>53</v>
      </c>
      <c r="D17" s="1" t="s">
        <v>85</v>
      </c>
      <c r="E17" s="1" t="s">
        <v>107</v>
      </c>
      <c r="F17" s="1" t="s">
        <v>37</v>
      </c>
      <c r="G17" s="1" t="s">
        <v>121</v>
      </c>
      <c r="H17" s="1" t="s">
        <v>146</v>
      </c>
      <c r="I17" s="1" t="s">
        <v>132</v>
      </c>
      <c r="J17" s="1" t="s">
        <v>138</v>
      </c>
      <c r="K17" s="3">
        <v>2156</v>
      </c>
      <c r="L17" s="5">
        <v>54.67</v>
      </c>
      <c r="M17" s="1">
        <v>26</v>
      </c>
      <c r="N17" s="6">
        <f>Table1[[#This Row],[Quantity]]*Table1[[#This Row],[Price]]</f>
        <v>117868.52</v>
      </c>
      <c r="O17" s="1">
        <f>Table1[[#This Row],[Cost per unit]]*Table1[[#This Row],[Quantity]]</f>
        <v>56056</v>
      </c>
      <c r="P17" s="6">
        <f>Table1[[#This Row],[Revenue]]-Table1[[#This Row],[Cost]]</f>
        <v>61812.520000000004</v>
      </c>
      <c r="Q17" s="6">
        <f>Table1[[#This Row],[Revenue]]*5%</f>
        <v>5893.4260000000004</v>
      </c>
      <c r="R17" s="6">
        <f>Table1[[#This Row],[Revenue]]*7%</f>
        <v>8250.7964000000011</v>
      </c>
      <c r="S17" s="6">
        <f>Table1[[#This Row],[Revenue]]*10%</f>
        <v>11786.852000000001</v>
      </c>
    </row>
    <row r="18" spans="2:19" x14ac:dyDescent="0.3">
      <c r="B18" s="2">
        <v>1340</v>
      </c>
      <c r="C18" s="1" t="s">
        <v>55</v>
      </c>
      <c r="D18" s="1" t="s">
        <v>86</v>
      </c>
      <c r="E18" s="1" t="s">
        <v>108</v>
      </c>
      <c r="F18" s="1" t="s">
        <v>56</v>
      </c>
      <c r="G18" s="1" t="s">
        <v>123</v>
      </c>
      <c r="H18" s="1" t="s">
        <v>146</v>
      </c>
      <c r="I18" s="1" t="s">
        <v>132</v>
      </c>
      <c r="J18" s="1" t="s">
        <v>138</v>
      </c>
      <c r="K18" s="3">
        <v>2492</v>
      </c>
      <c r="L18" s="5">
        <v>203.79</v>
      </c>
      <c r="M18" s="4">
        <v>50</v>
      </c>
      <c r="N18" s="6">
        <f>Table1[[#This Row],[Quantity]]*Table1[[#This Row],[Price]]</f>
        <v>507844.68</v>
      </c>
      <c r="O18" s="1">
        <f>Table1[[#This Row],[Cost per unit]]*Table1[[#This Row],[Quantity]]</f>
        <v>124600</v>
      </c>
      <c r="P18" s="6">
        <f>Table1[[#This Row],[Revenue]]-Table1[[#This Row],[Cost]]</f>
        <v>383244.68</v>
      </c>
      <c r="Q18" s="6">
        <f>Table1[[#This Row],[Revenue]]*5%</f>
        <v>25392.234</v>
      </c>
      <c r="R18" s="6">
        <f>Table1[[#This Row],[Revenue]]*7%</f>
        <v>35549.1276</v>
      </c>
      <c r="S18" s="6">
        <f>Table1[[#This Row],[Revenue]]*10%</f>
        <v>50784.468000000001</v>
      </c>
    </row>
    <row r="19" spans="2:19" x14ac:dyDescent="0.3">
      <c r="B19" s="2">
        <v>1343</v>
      </c>
      <c r="C19" s="1" t="s">
        <v>59</v>
      </c>
      <c r="D19" s="1" t="s">
        <v>87</v>
      </c>
      <c r="E19" s="1" t="s">
        <v>109</v>
      </c>
      <c r="F19" s="1" t="s">
        <v>69</v>
      </c>
      <c r="G19" s="1" t="s">
        <v>124</v>
      </c>
      <c r="H19" s="1" t="s">
        <v>146</v>
      </c>
      <c r="I19" s="1" t="s">
        <v>132</v>
      </c>
      <c r="J19" s="1" t="s">
        <v>138</v>
      </c>
      <c r="K19" s="3">
        <v>6829</v>
      </c>
      <c r="L19" s="5">
        <v>122.77</v>
      </c>
      <c r="M19" s="1">
        <v>30</v>
      </c>
      <c r="N19" s="6">
        <f>Table1[[#This Row],[Quantity]]*Table1[[#This Row],[Price]]</f>
        <v>838396.33</v>
      </c>
      <c r="O19" s="1">
        <f>Table1[[#This Row],[Cost per unit]]*Table1[[#This Row],[Quantity]]</f>
        <v>204870</v>
      </c>
      <c r="P19" s="6">
        <f>Table1[[#This Row],[Revenue]]-Table1[[#This Row],[Cost]]</f>
        <v>633526.32999999996</v>
      </c>
      <c r="Q19" s="6">
        <f>Table1[[#This Row],[Revenue]]*5%</f>
        <v>41919.816500000001</v>
      </c>
      <c r="R19" s="6">
        <f>Table1[[#This Row],[Revenue]]*7%</f>
        <v>58687.7431</v>
      </c>
      <c r="S19" s="6">
        <f>Table1[[#This Row],[Revenue]]*10%</f>
        <v>83839.633000000002</v>
      </c>
    </row>
    <row r="20" spans="2:19" x14ac:dyDescent="0.3">
      <c r="B20" s="2">
        <v>1346</v>
      </c>
      <c r="C20" s="1" t="s">
        <v>61</v>
      </c>
      <c r="D20" s="1" t="s">
        <v>88</v>
      </c>
      <c r="E20" s="1" t="s">
        <v>110</v>
      </c>
      <c r="F20" s="1" t="s">
        <v>56</v>
      </c>
      <c r="G20" s="1" t="s">
        <v>123</v>
      </c>
      <c r="H20" s="1" t="s">
        <v>146</v>
      </c>
      <c r="I20" s="1" t="s">
        <v>132</v>
      </c>
      <c r="J20" s="1" t="s">
        <v>138</v>
      </c>
      <c r="K20" s="3">
        <v>4143</v>
      </c>
      <c r="L20" s="5">
        <v>123.96</v>
      </c>
      <c r="M20" s="1">
        <v>47</v>
      </c>
      <c r="N20" s="6">
        <f>Table1[[#This Row],[Quantity]]*Table1[[#This Row],[Price]]</f>
        <v>513566.27999999997</v>
      </c>
      <c r="O20" s="1">
        <f>Table1[[#This Row],[Cost per unit]]*Table1[[#This Row],[Quantity]]</f>
        <v>194721</v>
      </c>
      <c r="P20" s="6">
        <f>Table1[[#This Row],[Revenue]]-Table1[[#This Row],[Cost]]</f>
        <v>318845.27999999997</v>
      </c>
      <c r="Q20" s="6">
        <f>Table1[[#This Row],[Revenue]]*5%</f>
        <v>25678.313999999998</v>
      </c>
      <c r="R20" s="6">
        <f>Table1[[#This Row],[Revenue]]*7%</f>
        <v>35949.639600000002</v>
      </c>
      <c r="S20" s="6">
        <f>Table1[[#This Row],[Revenue]]*10%</f>
        <v>51356.627999999997</v>
      </c>
    </row>
    <row r="21" spans="2:19" x14ac:dyDescent="0.3">
      <c r="B21" s="2">
        <v>1349</v>
      </c>
      <c r="C21" s="1" t="s">
        <v>62</v>
      </c>
      <c r="D21" s="1" t="s">
        <v>89</v>
      </c>
      <c r="E21" s="1" t="s">
        <v>111</v>
      </c>
      <c r="F21" s="1" t="s">
        <v>56</v>
      </c>
      <c r="G21" s="1" t="s">
        <v>123</v>
      </c>
      <c r="H21" s="1" t="s">
        <v>146</v>
      </c>
      <c r="I21" s="1" t="s">
        <v>132</v>
      </c>
      <c r="J21" s="1" t="s">
        <v>138</v>
      </c>
      <c r="K21" s="3">
        <v>5452</v>
      </c>
      <c r="L21" s="5">
        <v>206.97</v>
      </c>
      <c r="M21" s="1">
        <v>23</v>
      </c>
      <c r="N21" s="6">
        <f>Table1[[#This Row],[Quantity]]*Table1[[#This Row],[Price]]</f>
        <v>1128400.44</v>
      </c>
      <c r="O21" s="1">
        <f>Table1[[#This Row],[Cost per unit]]*Table1[[#This Row],[Quantity]]</f>
        <v>125396</v>
      </c>
      <c r="P21" s="6">
        <f>Table1[[#This Row],[Revenue]]-Table1[[#This Row],[Cost]]</f>
        <v>1003004.44</v>
      </c>
      <c r="Q21" s="6">
        <f>Table1[[#This Row],[Revenue]]*5%</f>
        <v>56420.021999999997</v>
      </c>
      <c r="R21" s="6">
        <f>Table1[[#This Row],[Revenue]]*7%</f>
        <v>78988.030800000008</v>
      </c>
      <c r="S21" s="6">
        <f>Table1[[#This Row],[Revenue]]*10%</f>
        <v>112840.04399999999</v>
      </c>
    </row>
    <row r="22" spans="2:19" x14ac:dyDescent="0.3">
      <c r="B22" s="2">
        <v>1352</v>
      </c>
      <c r="C22" s="1" t="s">
        <v>63</v>
      </c>
      <c r="D22" s="1" t="s">
        <v>90</v>
      </c>
      <c r="E22" s="1" t="s">
        <v>112</v>
      </c>
      <c r="F22" s="1" t="s">
        <v>37</v>
      </c>
      <c r="G22" s="1" t="s">
        <v>38</v>
      </c>
      <c r="H22" s="1" t="s">
        <v>148</v>
      </c>
      <c r="I22" s="1" t="s">
        <v>130</v>
      </c>
      <c r="J22" s="1" t="s">
        <v>136</v>
      </c>
      <c r="K22" s="3">
        <v>2933</v>
      </c>
      <c r="L22" s="5">
        <v>207.14</v>
      </c>
      <c r="M22" s="1">
        <v>50</v>
      </c>
      <c r="N22" s="6">
        <f>Table1[[#This Row],[Quantity]]*Table1[[#This Row],[Price]]</f>
        <v>607541.62</v>
      </c>
      <c r="O22" s="1">
        <f>Table1[[#This Row],[Cost per unit]]*Table1[[#This Row],[Quantity]]</f>
        <v>146650</v>
      </c>
      <c r="P22" s="6">
        <f>Table1[[#This Row],[Revenue]]-Table1[[#This Row],[Cost]]</f>
        <v>460891.62</v>
      </c>
      <c r="Q22" s="6">
        <f>Table1[[#This Row],[Revenue]]*5%</f>
        <v>30377.081000000002</v>
      </c>
      <c r="R22" s="6">
        <f>Table1[[#This Row],[Revenue]]*7%</f>
        <v>42527.913400000005</v>
      </c>
      <c r="S22" s="6">
        <f>Table1[[#This Row],[Revenue]]*10%</f>
        <v>60754.162000000004</v>
      </c>
    </row>
    <row r="23" spans="2:19" x14ac:dyDescent="0.3">
      <c r="B23" s="2">
        <v>1355</v>
      </c>
      <c r="C23" s="1" t="s">
        <v>64</v>
      </c>
      <c r="D23" s="1" t="s">
        <v>91</v>
      </c>
      <c r="E23" s="1" t="s">
        <v>113</v>
      </c>
      <c r="F23" s="1" t="s">
        <v>9</v>
      </c>
      <c r="G23" s="1" t="s">
        <v>119</v>
      </c>
      <c r="H23" s="1" t="s">
        <v>145</v>
      </c>
      <c r="I23" s="1" t="s">
        <v>127</v>
      </c>
      <c r="J23" s="1" t="s">
        <v>133</v>
      </c>
      <c r="K23" s="3">
        <v>6222</v>
      </c>
      <c r="L23" s="5">
        <v>122.79</v>
      </c>
      <c r="M23" s="1">
        <v>45</v>
      </c>
      <c r="N23" s="6">
        <f>Table1[[#This Row],[Quantity]]*Table1[[#This Row],[Price]]</f>
        <v>763999.38</v>
      </c>
      <c r="O23" s="1">
        <f>Table1[[#This Row],[Cost per unit]]*Table1[[#This Row],[Quantity]]</f>
        <v>279990</v>
      </c>
      <c r="P23" s="6">
        <f>Table1[[#This Row],[Revenue]]-Table1[[#This Row],[Cost]]</f>
        <v>484009.38</v>
      </c>
      <c r="Q23" s="6">
        <f>Table1[[#This Row],[Revenue]]*5%</f>
        <v>38199.969000000005</v>
      </c>
      <c r="R23" s="6">
        <f>Table1[[#This Row],[Revenue]]*7%</f>
        <v>53479.956600000005</v>
      </c>
      <c r="S23" s="6">
        <f>Table1[[#This Row],[Revenue]]*10%</f>
        <v>76399.938000000009</v>
      </c>
    </row>
    <row r="24" spans="2:19" x14ac:dyDescent="0.3">
      <c r="B24" s="2">
        <v>1358</v>
      </c>
      <c r="C24" s="1" t="s">
        <v>69</v>
      </c>
      <c r="D24" s="1" t="s">
        <v>69</v>
      </c>
      <c r="E24" s="1" t="s">
        <v>69</v>
      </c>
      <c r="F24" s="1" t="s">
        <v>69</v>
      </c>
      <c r="G24" s="1" t="s">
        <v>119</v>
      </c>
      <c r="H24" s="1" t="s">
        <v>145</v>
      </c>
      <c r="I24" s="1" t="s">
        <v>127</v>
      </c>
      <c r="J24" s="1" t="s">
        <v>133</v>
      </c>
      <c r="K24" s="3">
        <v>5611</v>
      </c>
      <c r="L24" s="5">
        <v>204.62</v>
      </c>
      <c r="M24" s="1">
        <v>20</v>
      </c>
      <c r="N24" s="6">
        <f>Table1[[#This Row],[Quantity]]*Table1[[#This Row],[Price]]</f>
        <v>1148122.82</v>
      </c>
      <c r="O24" s="1">
        <f>Table1[[#This Row],[Cost per unit]]*Table1[[#This Row],[Quantity]]</f>
        <v>112220</v>
      </c>
      <c r="P24" s="6">
        <f>Table1[[#This Row],[Revenue]]-Table1[[#This Row],[Cost]]</f>
        <v>1035902.8200000001</v>
      </c>
      <c r="Q24" s="6">
        <f>Table1[[#This Row],[Revenue]]*5%</f>
        <v>57406.141000000003</v>
      </c>
      <c r="R24" s="6">
        <f>Table1[[#This Row],[Revenue]]*7%</f>
        <v>80368.597400000013</v>
      </c>
      <c r="S24" s="6">
        <f>Table1[[#This Row],[Revenue]]*10%</f>
        <v>114812.28200000001</v>
      </c>
    </row>
    <row r="25" spans="2:19" x14ac:dyDescent="0.3">
      <c r="B25" s="2">
        <v>1361</v>
      </c>
      <c r="C25" s="1" t="s">
        <v>66</v>
      </c>
      <c r="D25" s="1" t="s">
        <v>92</v>
      </c>
      <c r="E25" s="1" t="s">
        <v>114</v>
      </c>
      <c r="F25" s="1" t="s">
        <v>9</v>
      </c>
      <c r="G25" s="1" t="s">
        <v>67</v>
      </c>
      <c r="H25" s="1" t="s">
        <v>148</v>
      </c>
      <c r="I25" s="1" t="s">
        <v>130</v>
      </c>
      <c r="J25" s="1" t="s">
        <v>136</v>
      </c>
      <c r="K25" s="3">
        <v>5396</v>
      </c>
      <c r="L25" s="5">
        <v>122.76</v>
      </c>
      <c r="M25" s="1">
        <v>50</v>
      </c>
      <c r="N25" s="6">
        <f>Table1[[#This Row],[Quantity]]*Table1[[#This Row],[Price]]</f>
        <v>662412.96000000008</v>
      </c>
      <c r="O25" s="1">
        <f>Table1[[#This Row],[Cost per unit]]*Table1[[#This Row],[Quantity]]</f>
        <v>269800</v>
      </c>
      <c r="P25" s="6">
        <f>Table1[[#This Row],[Revenue]]-Table1[[#This Row],[Cost]]</f>
        <v>392612.96000000008</v>
      </c>
      <c r="Q25" s="6">
        <f>Table1[[#This Row],[Revenue]]*5%</f>
        <v>33120.648000000008</v>
      </c>
      <c r="R25" s="6">
        <f>Table1[[#This Row],[Revenue]]*7%</f>
        <v>46368.907200000009</v>
      </c>
      <c r="S25" s="6">
        <f>Table1[[#This Row],[Revenue]]*10%</f>
        <v>66241.296000000017</v>
      </c>
    </row>
    <row r="26" spans="2:19" x14ac:dyDescent="0.3">
      <c r="B26" s="2">
        <v>1364</v>
      </c>
      <c r="C26" s="1" t="s">
        <v>68</v>
      </c>
      <c r="D26" s="1" t="s">
        <v>93</v>
      </c>
      <c r="E26" s="1" t="s">
        <v>115</v>
      </c>
      <c r="F26" s="1" t="s">
        <v>9</v>
      </c>
      <c r="G26" s="1" t="s">
        <v>67</v>
      </c>
      <c r="H26" s="1" t="s">
        <v>16</v>
      </c>
      <c r="I26" s="1" t="s">
        <v>128</v>
      </c>
      <c r="J26" s="1" t="s">
        <v>134</v>
      </c>
      <c r="K26" s="3">
        <v>3036</v>
      </c>
      <c r="L26" s="5">
        <v>81.599999999999994</v>
      </c>
      <c r="M26" s="1">
        <v>34</v>
      </c>
      <c r="N26" s="6">
        <f>Table1[[#This Row],[Quantity]]*Table1[[#This Row],[Price]]</f>
        <v>247737.59999999998</v>
      </c>
      <c r="O26" s="1">
        <f>Table1[[#This Row],[Cost per unit]]*Table1[[#This Row],[Quantity]]</f>
        <v>103224</v>
      </c>
      <c r="P26" s="6">
        <f>Table1[[#This Row],[Revenue]]-Table1[[#This Row],[Cost]]</f>
        <v>144513.59999999998</v>
      </c>
      <c r="Q26" s="6">
        <f>Table1[[#This Row],[Revenue]]*5%</f>
        <v>12386.88</v>
      </c>
      <c r="R26" s="6">
        <f>Table1[[#This Row],[Revenue]]*7%</f>
        <v>17341.632000000001</v>
      </c>
      <c r="S26" s="6">
        <f>Table1[[#This Row],[Revenue]]*10%</f>
        <v>24773.759999999998</v>
      </c>
    </row>
  </sheetData>
  <conditionalFormatting sqref="C1:E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Vee Inc Data</vt:lpstr>
      <vt:lpstr>Vee Inc Data (Cleaned)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Eseoghena Braimah</dc:creator>
  <cp:lastModifiedBy>Emmanuel Okeleke</cp:lastModifiedBy>
  <dcterms:created xsi:type="dcterms:W3CDTF">2024-01-12T21:28:18Z</dcterms:created>
  <dcterms:modified xsi:type="dcterms:W3CDTF">2026-03-12T05:38:45Z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2024-01-12T21:34:09Z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04d84ad8-578f-4db1-bd56-02da9ecf3636</vt:lpwstr>
  </property>
  <property fmtid="{D5CDD505-2E9C-101B-9397-08002B2CF9AE}" pid="7" name="MSIP_Label_defa4170-0d19-0005-0004-bc88714345d2_ActionId">
    <vt:lpwstr>322ef97f-0048-4083-8dfd-8555c159503b</vt:lpwstr>
  </property>
  <property fmtid="{D5CDD505-2E9C-101B-9397-08002B2CF9AE}" pid="8" name="MSIP_Label_defa4170-0d19-0005-0004-bc88714345d2_ContentBits">
    <vt:lpwstr>0</vt:lpwstr>
  </property>
</Properties>
</file>