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13_ncr:1_{633C959C-17DD-48AA-B1F2-A365B57D0CB1}" xr6:coauthVersionLast="47" xr6:coauthVersionMax="47" xr10:uidLastSave="{00000000-0000-0000-0000-000000000000}"/>
  <bookViews>
    <workbookView xWindow="-108" yWindow="-108" windowWidth="23256" windowHeight="12456" firstSheet="2" activeTab="4" xr2:uid="{892D9C25-192A-4626-8EB6-F0AA4DE8D38B}"/>
  </bookViews>
  <sheets>
    <sheet name="Vee Inc Data" sheetId="2" r:id="rId1"/>
    <sheet name="Vee Inc Data (Cleaned)" sheetId="4" r:id="rId2"/>
    <sheet name="Solutions-Savvy Data" sheetId="3" r:id="rId3"/>
    <sheet name="Sheet2" sheetId="6" r:id="rId4"/>
    <sheet name="Solutions-Savvy Data (2)" sheetId="5" r:id="rId5"/>
  </sheets>
  <definedNames>
    <definedName name="_xlnm._FilterDatabase" localSheetId="2" hidden="1">'Solutions-Savvy Data'!$B$2:$H$118</definedName>
    <definedName name="_xlnm._FilterDatabase" localSheetId="0" hidden="1">'Vee Inc Data'!$B$2:$H$28</definedName>
    <definedName name="_xlnm._FilterDatabase" localSheetId="1" hidden="1">'Vee Inc Data (Cleaned)'!$B$2:$L$26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N3" i="4"/>
  <c r="R3" i="4" s="1"/>
  <c r="N4" i="4"/>
  <c r="S4" i="4" s="1"/>
  <c r="N5" i="4"/>
  <c r="R5" i="4" s="1"/>
  <c r="N6" i="4"/>
  <c r="R6" i="4" s="1"/>
  <c r="N7" i="4"/>
  <c r="S7" i="4" s="1"/>
  <c r="N8" i="4"/>
  <c r="S8" i="4" s="1"/>
  <c r="N9" i="4"/>
  <c r="R9" i="4" s="1"/>
  <c r="N10" i="4"/>
  <c r="R10" i="4" s="1"/>
  <c r="N11" i="4"/>
  <c r="R11" i="4" s="1"/>
  <c r="N12" i="4"/>
  <c r="Q12" i="4" s="1"/>
  <c r="N13" i="4"/>
  <c r="R13" i="4" s="1"/>
  <c r="N14" i="4"/>
  <c r="R14" i="4" s="1"/>
  <c r="N15" i="4"/>
  <c r="S15" i="4" s="1"/>
  <c r="N16" i="4"/>
  <c r="Q16" i="4" s="1"/>
  <c r="N17" i="4"/>
  <c r="S17" i="4" s="1"/>
  <c r="N18" i="4"/>
  <c r="S18" i="4" s="1"/>
  <c r="N19" i="4"/>
  <c r="S19" i="4" s="1"/>
  <c r="N20" i="4"/>
  <c r="S20" i="4" s="1"/>
  <c r="N21" i="4"/>
  <c r="S21" i="4" s="1"/>
  <c r="N22" i="4"/>
  <c r="S22" i="4" s="1"/>
  <c r="N23" i="4"/>
  <c r="S23" i="4" s="1"/>
  <c r="N24" i="4"/>
  <c r="S24" i="4" s="1"/>
  <c r="N25" i="4"/>
  <c r="S25" i="4" s="1"/>
  <c r="N26" i="4"/>
  <c r="S26" i="4" s="1"/>
  <c r="C8" i="3"/>
  <c r="P6" i="4" l="1"/>
  <c r="R18" i="4"/>
  <c r="S6" i="4"/>
  <c r="S5" i="4"/>
  <c r="P4" i="4"/>
  <c r="R16" i="4"/>
  <c r="S16" i="4"/>
  <c r="Q15" i="4"/>
  <c r="R15" i="4"/>
  <c r="S3" i="4"/>
  <c r="Q14" i="4"/>
  <c r="S14" i="4"/>
  <c r="P13" i="4"/>
  <c r="S13" i="4"/>
  <c r="P12" i="4"/>
  <c r="Q24" i="4"/>
  <c r="R12" i="4"/>
  <c r="S12" i="4"/>
  <c r="P23" i="4"/>
  <c r="Q11" i="4"/>
  <c r="S11" i="4"/>
  <c r="Q22" i="4"/>
  <c r="S10" i="4"/>
  <c r="Q21" i="4"/>
  <c r="S9" i="4"/>
  <c r="P20" i="4"/>
  <c r="P8" i="4"/>
  <c r="Q20" i="4"/>
  <c r="Q8" i="4"/>
  <c r="R20" i="4"/>
  <c r="R8" i="4"/>
  <c r="P18" i="4"/>
  <c r="Q18" i="4"/>
  <c r="Q6" i="4"/>
  <c r="P17" i="4"/>
  <c r="P5" i="4"/>
  <c r="Q17" i="4"/>
  <c r="Q5" i="4"/>
  <c r="R17" i="4"/>
  <c r="P16" i="4"/>
  <c r="Q4" i="4"/>
  <c r="R4" i="4"/>
  <c r="P15" i="4"/>
  <c r="P3" i="4"/>
  <c r="Q3" i="4"/>
  <c r="P26" i="4"/>
  <c r="P14" i="4"/>
  <c r="Q26" i="4"/>
  <c r="R26" i="4"/>
  <c r="P25" i="4"/>
  <c r="Q25" i="4"/>
  <c r="Q13" i="4"/>
  <c r="R25" i="4"/>
  <c r="P24" i="4"/>
  <c r="R24" i="4"/>
  <c r="P11" i="4"/>
  <c r="Q23" i="4"/>
  <c r="R23" i="4"/>
  <c r="P22" i="4"/>
  <c r="P10" i="4"/>
  <c r="Q10" i="4"/>
  <c r="R22" i="4"/>
  <c r="P21" i="4"/>
  <c r="P9" i="4"/>
  <c r="Q9" i="4"/>
  <c r="R21" i="4"/>
  <c r="P19" i="4"/>
  <c r="P7" i="4"/>
  <c r="Q19" i="4"/>
  <c r="Q7" i="4"/>
  <c r="R19" i="4"/>
  <c r="R7" i="4"/>
</calcChain>
</file>

<file path=xl/sharedStrings.xml><?xml version="1.0" encoding="utf-8"?>
<sst xmlns="http://schemas.openxmlformats.org/spreadsheetml/2006/main" count="1340" uniqueCount="619">
  <si>
    <t>Customer ID</t>
  </si>
  <si>
    <t>Customer Name</t>
  </si>
  <si>
    <t>Brand</t>
  </si>
  <si>
    <t>Product</t>
  </si>
  <si>
    <t>Location</t>
  </si>
  <si>
    <t>Quantity</t>
  </si>
  <si>
    <t>Price</t>
  </si>
  <si>
    <t>Cost per unit</t>
  </si>
  <si>
    <t>Will_Smith</t>
  </si>
  <si>
    <t>Nike</t>
  </si>
  <si>
    <t>MagisTA SHoes</t>
  </si>
  <si>
    <t xml:space="preserve">    London UK</t>
  </si>
  <si>
    <t>122,79</t>
  </si>
  <si>
    <t>Paul_Singh</t>
  </si>
  <si>
    <t>Armani</t>
  </si>
  <si>
    <t>V-NECK Tshirt</t>
  </si>
  <si>
    <t>Madrid Spain</t>
  </si>
  <si>
    <t>204,62</t>
  </si>
  <si>
    <t>43</t>
  </si>
  <si>
    <t>Micheal_Fritz</t>
  </si>
  <si>
    <t>Nike Inc.</t>
  </si>
  <si>
    <t>FootBALL SHIRt</t>
  </si>
  <si>
    <t xml:space="preserve">    Tampa   USA</t>
  </si>
  <si>
    <t>122,76</t>
  </si>
  <si>
    <t>Nyla_Novak</t>
  </si>
  <si>
    <t>Nike UK</t>
  </si>
  <si>
    <t>Air MAx</t>
  </si>
  <si>
    <t xml:space="preserve">       Tokyo     Japan</t>
  </si>
  <si>
    <t>81,6</t>
  </si>
  <si>
    <t>David_Kolade</t>
  </si>
  <si>
    <t>54,67</t>
  </si>
  <si>
    <t>Seun_Smart</t>
  </si>
  <si>
    <t>New Balance</t>
  </si>
  <si>
    <t>Casual SHOes</t>
  </si>
  <si>
    <t>203,79</t>
  </si>
  <si>
    <t>56</t>
  </si>
  <si>
    <t>Jonah_Richards</t>
  </si>
  <si>
    <t>Asics</t>
  </si>
  <si>
    <t>Core Sprinter</t>
  </si>
  <si>
    <t>122,77</t>
  </si>
  <si>
    <t>Jordan_Woods</t>
  </si>
  <si>
    <t>CORE ss TOp</t>
  </si>
  <si>
    <t xml:space="preserve">  Berlin   Germany</t>
  </si>
  <si>
    <t>123,96</t>
  </si>
  <si>
    <t>Aminat_Townsend</t>
  </si>
  <si>
    <t>206,97</t>
  </si>
  <si>
    <t>Nora_Gold</t>
  </si>
  <si>
    <t>207,14</t>
  </si>
  <si>
    <t>Brendan_Walls</t>
  </si>
  <si>
    <t>JAPan ShiRT</t>
  </si>
  <si>
    <t>37</t>
  </si>
  <si>
    <t>Steven_Michael</t>
  </si>
  <si>
    <t>Lucia_Mckay</t>
  </si>
  <si>
    <t>Josue_Roach</t>
  </si>
  <si>
    <t xml:space="preserve">  Paris France</t>
  </si>
  <si>
    <t>Franklin_Wright</t>
  </si>
  <si>
    <t>Puma</t>
  </si>
  <si>
    <t>Football SHOES</t>
  </si>
  <si>
    <t>50</t>
  </si>
  <si>
    <t>Alia_Thornton</t>
  </si>
  <si>
    <t>TeNNIS Shorts</t>
  </si>
  <si>
    <t>Denzel_Torress</t>
  </si>
  <si>
    <t>Bruno_Fernades</t>
  </si>
  <si>
    <t>Jarup_Knapp</t>
  </si>
  <si>
    <t>Bruce_Storm</t>
  </si>
  <si>
    <t>London    UK</t>
  </si>
  <si>
    <t>Brown_Shakespeare</t>
  </si>
  <si>
    <t>Dunk High Retro</t>
  </si>
  <si>
    <t>Jaden_Andrew</t>
  </si>
  <si>
    <t>Company Name</t>
  </si>
  <si>
    <t>RACE</t>
  </si>
  <si>
    <t>FOUNDER NAME</t>
  </si>
  <si>
    <t>AGE</t>
  </si>
  <si>
    <t>FIRST NAME</t>
  </si>
  <si>
    <t>LAST NAME</t>
  </si>
  <si>
    <t>Net Amount</t>
  </si>
  <si>
    <t>3 Musketeers</t>
  </si>
  <si>
    <t>American    Indian</t>
  </si>
  <si>
    <t>Grantley Oret</t>
  </si>
  <si>
    <t>49</t>
  </si>
  <si>
    <t>22216  9570</t>
  </si>
  <si>
    <t>5 (gum)</t>
  </si>
  <si>
    <t>White</t>
  </si>
  <si>
    <t>Elmore WOrner</t>
  </si>
  <si>
    <t>Callebaut</t>
  </si>
  <si>
    <t>African American</t>
  </si>
  <si>
    <t>Karina Slocum</t>
  </si>
  <si>
    <t>51</t>
  </si>
  <si>
    <t>A&amp;W</t>
  </si>
  <si>
    <t>American Indian</t>
  </si>
  <si>
    <t>Alida Longley</t>
  </si>
  <si>
    <t xml:space="preserve">         African American</t>
  </si>
  <si>
    <t>47</t>
  </si>
  <si>
    <t>Campbell's</t>
  </si>
  <si>
    <t>Bartholemy Schutter</t>
  </si>
  <si>
    <t>4;6</t>
  </si>
  <si>
    <t>Canadian Club</t>
  </si>
  <si>
    <t xml:space="preserve">   African American</t>
  </si>
  <si>
    <t>Gamaliel McRoBerts</t>
  </si>
  <si>
    <t>13132691  5</t>
  </si>
  <si>
    <t>Canadian Mist</t>
  </si>
  <si>
    <t>demetre chaulk</t>
  </si>
  <si>
    <t>92183   872</t>
  </si>
  <si>
    <t>Captain Morgan</t>
  </si>
  <si>
    <t>Carlen Bruhnke</t>
  </si>
  <si>
    <t>;55</t>
  </si>
  <si>
    <t>779  8732   4</t>
  </si>
  <si>
    <t>Canyon Creek Food Company</t>
  </si>
  <si>
    <t>Gabie Olivier</t>
  </si>
  <si>
    <t>77987  324</t>
  </si>
  <si>
    <t>5-hour Energy</t>
  </si>
  <si>
    <t>Dud BRain</t>
  </si>
  <si>
    <t>7 Up</t>
  </si>
  <si>
    <t>Aguie Conford</t>
  </si>
  <si>
    <t>A Twosome Place</t>
  </si>
  <si>
    <t xml:space="preserve">   White</t>
  </si>
  <si>
    <t>katerina rosborough</t>
  </si>
  <si>
    <t>2373  13424</t>
  </si>
  <si>
    <t>Adnams</t>
  </si>
  <si>
    <t>Christophorus Boseley</t>
  </si>
  <si>
    <t>4;8</t>
  </si>
  <si>
    <t>20287   5348</t>
  </si>
  <si>
    <t>Campa Cola</t>
  </si>
  <si>
    <t>Dario Renshall</t>
  </si>
  <si>
    <t>4;3</t>
  </si>
  <si>
    <t>229221  231</t>
  </si>
  <si>
    <t>Ajinomoto</t>
  </si>
  <si>
    <t>Elmo McNee</t>
  </si>
  <si>
    <t>Aero (chocolate)</t>
  </si>
  <si>
    <t>Arleyne Froome</t>
  </si>
  <si>
    <t>After Eight</t>
  </si>
  <si>
    <t>ToDD Cashen</t>
  </si>
  <si>
    <t>;50</t>
  </si>
  <si>
    <t xml:space="preserve">    African American</t>
  </si>
  <si>
    <t>Alpha Bits</t>
  </si>
  <si>
    <t>Regen Nafzger</t>
  </si>
  <si>
    <t>A.1. Sauce</t>
  </si>
  <si>
    <t>Gareth MacCook</t>
  </si>
  <si>
    <t>Apollinaris (water)</t>
  </si>
  <si>
    <t xml:space="preserve">  White</t>
  </si>
  <si>
    <t>Rudolf Reichardt</t>
  </si>
  <si>
    <t>46</t>
  </si>
  <si>
    <t>Apple Jacks</t>
  </si>
  <si>
    <t>tobiah fruchon</t>
  </si>
  <si>
    <t>Applebee's</t>
  </si>
  <si>
    <t>Asian</t>
  </si>
  <si>
    <t>fay monnelly</t>
  </si>
  <si>
    <t>Appleton Jamaica Rum</t>
  </si>
  <si>
    <t>Lola Burrells</t>
  </si>
  <si>
    <t>104   910812</t>
  </si>
  <si>
    <t>Appy Fizz</t>
  </si>
  <si>
    <t>hamel edgeler</t>
  </si>
  <si>
    <t>6;0</t>
  </si>
  <si>
    <t>Aqua Pura</t>
  </si>
  <si>
    <t xml:space="preserve">  African   American</t>
  </si>
  <si>
    <t>Shalne Berntssen</t>
  </si>
  <si>
    <t>Aquafina</t>
  </si>
  <si>
    <t>Nefen Russan</t>
  </si>
  <si>
    <t>Arbor Mist</t>
  </si>
  <si>
    <t>Woodie Hayhow</t>
  </si>
  <si>
    <t>Arby's</t>
  </si>
  <si>
    <t>Claude Ales0</t>
  </si>
  <si>
    <t>19  5804281</t>
  </si>
  <si>
    <t>Audi</t>
  </si>
  <si>
    <t>Virginia Teligin</t>
  </si>
  <si>
    <t>Auntie AnneÃ¢Â€Â™s</t>
  </si>
  <si>
    <t>Starr Yitzhok</t>
  </si>
  <si>
    <t>Aurelio's Pizza</t>
  </si>
  <si>
    <t>perla durrand</t>
  </si>
  <si>
    <t>Babybel</t>
  </si>
  <si>
    <t>Mahala McTrustie</t>
  </si>
  <si>
    <t>Bacardi</t>
  </si>
  <si>
    <t>Hobart Bertrand</t>
  </si>
  <si>
    <t>Bad Frog</t>
  </si>
  <si>
    <t>Nobe Leathe</t>
  </si>
  <si>
    <t>Badoit</t>
  </si>
  <si>
    <t>Peta Gosson</t>
  </si>
  <si>
    <t>Bagel Bites</t>
  </si>
  <si>
    <t>Ninnette Batter</t>
  </si>
  <si>
    <t>Baileys Irish Cream</t>
  </si>
  <si>
    <t>Bibbie Matteoli</t>
  </si>
  <si>
    <t>Baker's Dozen Donuts</t>
  </si>
  <si>
    <t>Averell Paintain</t>
  </si>
  <si>
    <t>1977 29528</t>
  </si>
  <si>
    <t>Ballantine's</t>
  </si>
  <si>
    <t>Marcel Fowkes</t>
  </si>
  <si>
    <t>Banania</t>
  </si>
  <si>
    <t>Artus Cawcutt</t>
  </si>
  <si>
    <t>246  294967</t>
  </si>
  <si>
    <t>Barq's</t>
  </si>
  <si>
    <t>Emili Cowl</t>
  </si>
  <si>
    <t>Barry's Tea</t>
  </si>
  <si>
    <t>Edeline Painten</t>
  </si>
  <si>
    <t>Baskin-Robbins</t>
  </si>
  <si>
    <t>Meggi McIlory</t>
  </si>
  <si>
    <t>Bass Brewery</t>
  </si>
  <si>
    <t>Giordano Muckian</t>
  </si>
  <si>
    <t>Batemans Brewery</t>
  </si>
  <si>
    <t>Nickolas Coopey</t>
  </si>
  <si>
    <t>Beacon Drive In</t>
  </si>
  <si>
    <t>Corrina Blooman</t>
  </si>
  <si>
    <t>Beam Suntory</t>
  </si>
  <si>
    <t>Odey Brough</t>
  </si>
  <si>
    <t>2236  68208</t>
  </si>
  <si>
    <t>Becel</t>
  </si>
  <si>
    <t>Lenka Astridge</t>
  </si>
  <si>
    <t>Beck's</t>
  </si>
  <si>
    <t>Gunar Dinkin</t>
  </si>
  <si>
    <t>23 112 3268</t>
  </si>
  <si>
    <t>Beech-Nut</t>
  </si>
  <si>
    <t>Gale Dreossi</t>
  </si>
  <si>
    <t>Beefeater Gin</t>
  </si>
  <si>
    <t>Chrysa Brownell</t>
  </si>
  <si>
    <t>Bega Cheese</t>
  </si>
  <si>
    <t>Britte Royds</t>
  </si>
  <si>
    <t>4;9</t>
  </si>
  <si>
    <t>BelGioioso Cheese</t>
  </si>
  <si>
    <t>Bil Wanden</t>
  </si>
  <si>
    <t>62  628514</t>
  </si>
  <si>
    <t>Bell's whisky</t>
  </si>
  <si>
    <t>Ronda Dictus</t>
  </si>
  <si>
    <t>Belvedere Vodka</t>
  </si>
  <si>
    <t>Loree Neno</t>
  </si>
  <si>
    <t>Bembos</t>
  </si>
  <si>
    <t>Teena Tolan</t>
  </si>
  <si>
    <t>Ben &amp; Jerry's</t>
  </si>
  <si>
    <t>Karine Seage</t>
  </si>
  <si>
    <t>Bertolli</t>
  </si>
  <si>
    <t>Diandra Bourget</t>
  </si>
  <si>
    <t>Big Boy Restaurants</t>
  </si>
  <si>
    <t>Dodi Caves</t>
  </si>
  <si>
    <t>Bionade</t>
  </si>
  <si>
    <t>Hyman Dancey</t>
  </si>
  <si>
    <t>Birds Eye</t>
  </si>
  <si>
    <t>Rourke Dawkins</t>
  </si>
  <si>
    <t>5;3</t>
  </si>
  <si>
    <t>Bisleri</t>
  </si>
  <si>
    <t>Northrup Arendt</t>
  </si>
  <si>
    <t>Bisto</t>
  </si>
  <si>
    <t>Guntar Arro</t>
  </si>
  <si>
    <t>Bitburger Brewery</t>
  </si>
  <si>
    <t>Midge Orpyne</t>
  </si>
  <si>
    <t>Black Velvet (whisky)</t>
  </si>
  <si>
    <t>Isador Crady</t>
  </si>
  <si>
    <t>Blavod</t>
  </si>
  <si>
    <t>Nichol Dionisii</t>
  </si>
  <si>
    <t>Blue Band</t>
  </si>
  <si>
    <t>Dorey Diperaus</t>
  </si>
  <si>
    <t>Blue Bell Creameries</t>
  </si>
  <si>
    <t>Lanie Plewes</t>
  </si>
  <si>
    <t>Blue Bonnet</t>
  </si>
  <si>
    <t>Mahmoud DeL'Isle</t>
  </si>
  <si>
    <t>Bluna</t>
  </si>
  <si>
    <t>Carlynne Gouldthorpe</t>
  </si>
  <si>
    <t>Boddingtons</t>
  </si>
  <si>
    <t>Modesta Lanktree</t>
  </si>
  <si>
    <t>BOH tea</t>
  </si>
  <si>
    <t>Tildie Ranvoise</t>
  </si>
  <si>
    <t>Bombay Sapphire</t>
  </si>
  <si>
    <t>Tallulah Dowty</t>
  </si>
  <si>
    <t>Boost (chocolate bar)</t>
  </si>
  <si>
    <t>Addie Coldman</t>
  </si>
  <si>
    <t>Boost (drink)</t>
  </si>
  <si>
    <t>Eleanore Pudner</t>
  </si>
  <si>
    <t>Boursin cheese</t>
  </si>
  <si>
    <t>Carlene Goldwater</t>
  </si>
  <si>
    <t>Branston</t>
  </si>
  <si>
    <t>Amara Jacobs</t>
  </si>
  <si>
    <t>Brewers Fayre</t>
  </si>
  <si>
    <t>Heall Conville</t>
  </si>
  <si>
    <t>Breyers</t>
  </si>
  <si>
    <t>Jake Dawdry</t>
  </si>
  <si>
    <t>Brim coffee</t>
  </si>
  <si>
    <t>Maribelle Bisson</t>
  </si>
  <si>
    <t>Brooke Bond</t>
  </si>
  <si>
    <t>Calypso Connold</t>
  </si>
  <si>
    <t>Bubble Up</t>
  </si>
  <si>
    <t>Tanitansy Fancett</t>
  </si>
  <si>
    <t>Budweiser</t>
  </si>
  <si>
    <t>Allyce Giacobazzi</t>
  </si>
  <si>
    <t>Burger Chef</t>
  </si>
  <si>
    <t>Filberte Morant</t>
  </si>
  <si>
    <t>Burger King</t>
  </si>
  <si>
    <t>Sergei Glidden</t>
  </si>
  <si>
    <t>Burger Rings</t>
  </si>
  <si>
    <t>Chelsy Clacey</t>
  </si>
  <si>
    <t>Bushells</t>
  </si>
  <si>
    <t>Romy Sandever</t>
  </si>
  <si>
    <t>Butterfinger</t>
  </si>
  <si>
    <t>Rorie Rice</t>
  </si>
  <si>
    <t>Cadbury Creme Egg</t>
  </si>
  <si>
    <t>Karel Gullen</t>
  </si>
  <si>
    <t>Cadbury Dairy Milk</t>
  </si>
  <si>
    <t>Marcela Bostock</t>
  </si>
  <si>
    <t>Cadbury Roses</t>
  </si>
  <si>
    <t>Agretha Brunning</t>
  </si>
  <si>
    <t>1   35653904</t>
  </si>
  <si>
    <t>Camp Coffee</t>
  </si>
  <si>
    <t>Gun Heathorn</t>
  </si>
  <si>
    <t>A&amp;W Root Beer</t>
  </si>
  <si>
    <t>Laraine Petre</t>
  </si>
  <si>
    <t>Amstel Brewery</t>
  </si>
  <si>
    <t>Penelope Wenman</t>
  </si>
  <si>
    <t>20  8610720</t>
  </si>
  <si>
    <t>Cafe Britt</t>
  </si>
  <si>
    <t>Willdon Pirozzi</t>
  </si>
  <si>
    <t>Cailler</t>
  </si>
  <si>
    <t>Paddie Mallebone</t>
  </si>
  <si>
    <t>Absolut Vodka</t>
  </si>
  <si>
    <t>Scottie Chestney</t>
  </si>
  <si>
    <t>Candwich</t>
  </si>
  <si>
    <t>Temple Banasevich</t>
  </si>
  <si>
    <t>Carabao</t>
  </si>
  <si>
    <t>Nathaniel Coolahan</t>
  </si>
  <si>
    <t>Caribou Coffee</t>
  </si>
  <si>
    <t>Sarajane Price</t>
  </si>
  <si>
    <t>-</t>
  </si>
  <si>
    <t>First Name</t>
  </si>
  <si>
    <t>Last Name</t>
  </si>
  <si>
    <t>Will</t>
  </si>
  <si>
    <t>Paul</t>
  </si>
  <si>
    <t>Micheal</t>
  </si>
  <si>
    <t>Nyla</t>
  </si>
  <si>
    <t>David</t>
  </si>
  <si>
    <t>Seun</t>
  </si>
  <si>
    <t>Jonah</t>
  </si>
  <si>
    <t>Jordan</t>
  </si>
  <si>
    <t>Aminat</t>
  </si>
  <si>
    <t>Nora</t>
  </si>
  <si>
    <t>Brendan</t>
  </si>
  <si>
    <t>Steven</t>
  </si>
  <si>
    <t>Lucia</t>
  </si>
  <si>
    <t>Josue</t>
  </si>
  <si>
    <t>Franklin</t>
  </si>
  <si>
    <t>Alia</t>
  </si>
  <si>
    <t>Denzel</t>
  </si>
  <si>
    <t>Bruno</t>
  </si>
  <si>
    <t>Jarup</t>
  </si>
  <si>
    <t>Bruce</t>
  </si>
  <si>
    <t>Brown</t>
  </si>
  <si>
    <t>Jaden</t>
  </si>
  <si>
    <t>Smith</t>
  </si>
  <si>
    <t>Singh</t>
  </si>
  <si>
    <t>Fritz</t>
  </si>
  <si>
    <t>Novak</t>
  </si>
  <si>
    <t>Kolade</t>
  </si>
  <si>
    <t>Smart</t>
  </si>
  <si>
    <t>Richards</t>
  </si>
  <si>
    <t>Woods</t>
  </si>
  <si>
    <t>Townsend</t>
  </si>
  <si>
    <t>Gold</t>
  </si>
  <si>
    <t>Walls</t>
  </si>
  <si>
    <t>Michael</t>
  </si>
  <si>
    <t>Mckay</t>
  </si>
  <si>
    <t>Roach</t>
  </si>
  <si>
    <t>Wright</t>
  </si>
  <si>
    <t>Thornton</t>
  </si>
  <si>
    <t>Torress</t>
  </si>
  <si>
    <t>Fernades</t>
  </si>
  <si>
    <t>Knapp</t>
  </si>
  <si>
    <t>Storm</t>
  </si>
  <si>
    <t>Shakespeare</t>
  </si>
  <si>
    <t>Andrew</t>
  </si>
  <si>
    <t>Magista Shoes</t>
  </si>
  <si>
    <t>V-Neck Tshirt</t>
  </si>
  <si>
    <t>Football Shirt</t>
  </si>
  <si>
    <t>Air Max</t>
  </si>
  <si>
    <t>Casual Shoes</t>
  </si>
  <si>
    <t>Core Ss Top</t>
  </si>
  <si>
    <t>Japan Shirt</t>
  </si>
  <si>
    <t>Football Shoes</t>
  </si>
  <si>
    <t>Tennis Shorts</t>
  </si>
  <si>
    <t>City</t>
  </si>
  <si>
    <t>Country</t>
  </si>
  <si>
    <t>London</t>
  </si>
  <si>
    <t>Madrid</t>
  </si>
  <si>
    <t>Tampa</t>
  </si>
  <si>
    <t>Tokyo</t>
  </si>
  <si>
    <t>Berlin</t>
  </si>
  <si>
    <t>Paris</t>
  </si>
  <si>
    <t>UK</t>
  </si>
  <si>
    <t>Spain</t>
  </si>
  <si>
    <t>USA</t>
  </si>
  <si>
    <t>Japan</t>
  </si>
  <si>
    <t>Germany</t>
  </si>
  <si>
    <t>France</t>
  </si>
  <si>
    <t>Revenue</t>
  </si>
  <si>
    <t>Cost</t>
  </si>
  <si>
    <t>Profit</t>
  </si>
  <si>
    <t>5% Discount</t>
  </si>
  <si>
    <t>7% Discount</t>
  </si>
  <si>
    <t>10% Discount</t>
  </si>
  <si>
    <t>London UK</t>
  </si>
  <si>
    <t>Tampa   USA</t>
  </si>
  <si>
    <t>Tokyo     Japan</t>
  </si>
  <si>
    <t>Berlin   Germany</t>
  </si>
  <si>
    <t>Paris France</t>
  </si>
  <si>
    <t>Row Labels</t>
  </si>
  <si>
    <t>Grand Total</t>
  </si>
  <si>
    <t xml:space="preserve"> African American</t>
  </si>
  <si>
    <t xml:space="preserve">  AfricanAmerican</t>
  </si>
  <si>
    <t>Elmore Worner</t>
  </si>
  <si>
    <t>Gamaliel Mcroberts</t>
  </si>
  <si>
    <t>Demetre Chaulk</t>
  </si>
  <si>
    <t>Dud Brain</t>
  </si>
  <si>
    <t>Katerina Rosborough</t>
  </si>
  <si>
    <t>Elmo Mcnee</t>
  </si>
  <si>
    <t>Todd Cashen</t>
  </si>
  <si>
    <t>Gareth Maccook</t>
  </si>
  <si>
    <t>Tobiah Fruchon</t>
  </si>
  <si>
    <t>Fay Monnelly</t>
  </si>
  <si>
    <t>Hamel Edgeler</t>
  </si>
  <si>
    <t>Perla Durrand</t>
  </si>
  <si>
    <t>Mahala Mctrustie</t>
  </si>
  <si>
    <t>Meggi Mcilory</t>
  </si>
  <si>
    <t>Mahmoud Del'Isle</t>
  </si>
  <si>
    <t>Grantley</t>
  </si>
  <si>
    <t>Elmore</t>
  </si>
  <si>
    <t>Karina</t>
  </si>
  <si>
    <t>Alida</t>
  </si>
  <si>
    <t>Bartholemy</t>
  </si>
  <si>
    <t>Gamaliel</t>
  </si>
  <si>
    <t>Demetre</t>
  </si>
  <si>
    <t>Carlen</t>
  </si>
  <si>
    <t>Gabie</t>
  </si>
  <si>
    <t>Dud</t>
  </si>
  <si>
    <t>Aguie</t>
  </si>
  <si>
    <t>Katerina</t>
  </si>
  <si>
    <t>Christophorus</t>
  </si>
  <si>
    <t>Dario</t>
  </si>
  <si>
    <t>Elmo</t>
  </si>
  <si>
    <t>Arleyne</t>
  </si>
  <si>
    <t>Todd</t>
  </si>
  <si>
    <t>Regen</t>
  </si>
  <si>
    <t>Gareth</t>
  </si>
  <si>
    <t>Rudolf</t>
  </si>
  <si>
    <t>Tobiah</t>
  </si>
  <si>
    <t>Fay</t>
  </si>
  <si>
    <t>Lola</t>
  </si>
  <si>
    <t>Hamel</t>
  </si>
  <si>
    <t>Shalne</t>
  </si>
  <si>
    <t>Nefen</t>
  </si>
  <si>
    <t>Woodie</t>
  </si>
  <si>
    <t>Claude</t>
  </si>
  <si>
    <t>Virginia</t>
  </si>
  <si>
    <t>Starr</t>
  </si>
  <si>
    <t>Perla</t>
  </si>
  <si>
    <t>Mahala</t>
  </si>
  <si>
    <t>Hobart</t>
  </si>
  <si>
    <t>Nobe</t>
  </si>
  <si>
    <t>Peta</t>
  </si>
  <si>
    <t>Ninnette</t>
  </si>
  <si>
    <t>Bibbie</t>
  </si>
  <si>
    <t>Averell</t>
  </si>
  <si>
    <t>Marcel</t>
  </si>
  <si>
    <t>Artus</t>
  </si>
  <si>
    <t>Emili</t>
  </si>
  <si>
    <t>Edeline</t>
  </si>
  <si>
    <t>Meggi</t>
  </si>
  <si>
    <t>Giordano</t>
  </si>
  <si>
    <t>Nickolas</t>
  </si>
  <si>
    <t>Corrina</t>
  </si>
  <si>
    <t>Odey</t>
  </si>
  <si>
    <t>Lenka</t>
  </si>
  <si>
    <t>Gunar</t>
  </si>
  <si>
    <t>Gale</t>
  </si>
  <si>
    <t>Chrysa</t>
  </si>
  <si>
    <t>Britte</t>
  </si>
  <si>
    <t>Bil</t>
  </si>
  <si>
    <t>Ronda</t>
  </si>
  <si>
    <t>Loree</t>
  </si>
  <si>
    <t>Teena</t>
  </si>
  <si>
    <t>Karine</t>
  </si>
  <si>
    <t>Diandra</t>
  </si>
  <si>
    <t>Dodi</t>
  </si>
  <si>
    <t>Hyman</t>
  </si>
  <si>
    <t>Rourke</t>
  </si>
  <si>
    <t>Northrup</t>
  </si>
  <si>
    <t>Guntar</t>
  </si>
  <si>
    <t>Midge</t>
  </si>
  <si>
    <t>Isador</t>
  </si>
  <si>
    <t>Nichol</t>
  </si>
  <si>
    <t>Dorey</t>
  </si>
  <si>
    <t>Lanie</t>
  </si>
  <si>
    <t>Mahmoud</t>
  </si>
  <si>
    <t>Carlynne</t>
  </si>
  <si>
    <t>Modesta</t>
  </si>
  <si>
    <t>Tildie</t>
  </si>
  <si>
    <t>Tallulah</t>
  </si>
  <si>
    <t>Addie</t>
  </si>
  <si>
    <t>Eleanore</t>
  </si>
  <si>
    <t>Carlene</t>
  </si>
  <si>
    <t>Amara</t>
  </si>
  <si>
    <t>Heall</t>
  </si>
  <si>
    <t>Jake</t>
  </si>
  <si>
    <t>Maribelle</t>
  </si>
  <si>
    <t>Calypso</t>
  </si>
  <si>
    <t>Tanitansy</t>
  </si>
  <si>
    <t>Allyce</t>
  </si>
  <si>
    <t>Filberte</t>
  </si>
  <si>
    <t>Sergei</t>
  </si>
  <si>
    <t>Chelsy</t>
  </si>
  <si>
    <t>Romy</t>
  </si>
  <si>
    <t>Rorie</t>
  </si>
  <si>
    <t>Karel</t>
  </si>
  <si>
    <t>Marcela</t>
  </si>
  <si>
    <t>Agretha</t>
  </si>
  <si>
    <t>Gun</t>
  </si>
  <si>
    <t>Laraine</t>
  </si>
  <si>
    <t>Penelope</t>
  </si>
  <si>
    <t>Willdon</t>
  </si>
  <si>
    <t>Paddie</t>
  </si>
  <si>
    <t>Scottie</t>
  </si>
  <si>
    <t>Temple</t>
  </si>
  <si>
    <t>Nathaniel</t>
  </si>
  <si>
    <t>Sarajane</t>
  </si>
  <si>
    <t>Oret</t>
  </si>
  <si>
    <t>Worner</t>
  </si>
  <si>
    <t>Slocum</t>
  </si>
  <si>
    <t>Longley</t>
  </si>
  <si>
    <t>Schutter</t>
  </si>
  <si>
    <t>Mcroberts</t>
  </si>
  <si>
    <t>Chaulk</t>
  </si>
  <si>
    <t>Bruhnke</t>
  </si>
  <si>
    <t>Olivier</t>
  </si>
  <si>
    <t>Brain</t>
  </si>
  <si>
    <t>Conford</t>
  </si>
  <si>
    <t>Rosborough</t>
  </si>
  <si>
    <t>Boseley</t>
  </si>
  <si>
    <t>Renshall</t>
  </si>
  <si>
    <t>Mcnee</t>
  </si>
  <si>
    <t>Froome</t>
  </si>
  <si>
    <t>Cashen</t>
  </si>
  <si>
    <t>Nafzger</t>
  </si>
  <si>
    <t>Maccook</t>
  </si>
  <si>
    <t>Reichardt</t>
  </si>
  <si>
    <t>Fruchon</t>
  </si>
  <si>
    <t>Monnelly</t>
  </si>
  <si>
    <t>Burrells</t>
  </si>
  <si>
    <t>Edgeler</t>
  </si>
  <si>
    <t>Berntssen</t>
  </si>
  <si>
    <t>Russan</t>
  </si>
  <si>
    <t>Hayhow</t>
  </si>
  <si>
    <t>Ales0</t>
  </si>
  <si>
    <t>Teligin</t>
  </si>
  <si>
    <t>Yitzhok</t>
  </si>
  <si>
    <t>Durrand</t>
  </si>
  <si>
    <t>Mctrustie</t>
  </si>
  <si>
    <t>Bertrand</t>
  </si>
  <si>
    <t>Leathe</t>
  </si>
  <si>
    <t>Gosson</t>
  </si>
  <si>
    <t>Batter</t>
  </si>
  <si>
    <t>Matteoli</t>
  </si>
  <si>
    <t>Paintain</t>
  </si>
  <si>
    <t>Fowkes</t>
  </si>
  <si>
    <t>Cawcutt</t>
  </si>
  <si>
    <t>Cowl</t>
  </si>
  <si>
    <t>Painten</t>
  </si>
  <si>
    <t>Mcilory</t>
  </si>
  <si>
    <t>Muckian</t>
  </si>
  <si>
    <t>Coopey</t>
  </si>
  <si>
    <t>Blooman</t>
  </si>
  <si>
    <t>Brough</t>
  </si>
  <si>
    <t>Astridge</t>
  </si>
  <si>
    <t>Dinkin</t>
  </si>
  <si>
    <t>Dreossi</t>
  </si>
  <si>
    <t>Brownell</t>
  </si>
  <si>
    <t>Royds</t>
  </si>
  <si>
    <t>Wanden</t>
  </si>
  <si>
    <t>Dictus</t>
  </si>
  <si>
    <t>Neno</t>
  </si>
  <si>
    <t>Tolan</t>
  </si>
  <si>
    <t>Seage</t>
  </si>
  <si>
    <t>Bourget</t>
  </si>
  <si>
    <t>Caves</t>
  </si>
  <si>
    <t>Dancey</t>
  </si>
  <si>
    <t>Dawkins</t>
  </si>
  <si>
    <t>Arendt</t>
  </si>
  <si>
    <t>Arro</t>
  </si>
  <si>
    <t>Orpyne</t>
  </si>
  <si>
    <t>Crady</t>
  </si>
  <si>
    <t>Dionisii</t>
  </si>
  <si>
    <t>Diperaus</t>
  </si>
  <si>
    <t>Plewes</t>
  </si>
  <si>
    <t>Del'Isle</t>
  </si>
  <si>
    <t>Gouldthorpe</t>
  </si>
  <si>
    <t>Lanktree</t>
  </si>
  <si>
    <t>Ranvoise</t>
  </si>
  <si>
    <t>Dowty</t>
  </si>
  <si>
    <t>Coldman</t>
  </si>
  <si>
    <t>Pudner</t>
  </si>
  <si>
    <t>Goldwater</t>
  </si>
  <si>
    <t>Jacobs</t>
  </si>
  <si>
    <t>Conville</t>
  </si>
  <si>
    <t>Dawdry</t>
  </si>
  <si>
    <t>Bisson</t>
  </si>
  <si>
    <t>Connold</t>
  </si>
  <si>
    <t>Fancett</t>
  </si>
  <si>
    <t>Giacobazzi</t>
  </si>
  <si>
    <t>Morant</t>
  </si>
  <si>
    <t>Glidden</t>
  </si>
  <si>
    <t>Clacey</t>
  </si>
  <si>
    <t>Sandever</t>
  </si>
  <si>
    <t>Rice</t>
  </si>
  <si>
    <t>Gullen</t>
  </si>
  <si>
    <t>Bostock</t>
  </si>
  <si>
    <t>Brunning</t>
  </si>
  <si>
    <t>Heathorn</t>
  </si>
  <si>
    <t>Petre</t>
  </si>
  <si>
    <t>Wenman</t>
  </si>
  <si>
    <t>Pirozzi</t>
  </si>
  <si>
    <t>Mallebone</t>
  </si>
  <si>
    <t>Chestney</t>
  </si>
  <si>
    <t>Banasevich</t>
  </si>
  <si>
    <t>Coolahan</t>
  </si>
  <si>
    <t>AGE2</t>
  </si>
  <si>
    <t>RACE2</t>
  </si>
  <si>
    <t>NetAmount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</si>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</sst>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/>
    <xf numFmtId="0" fontId="1" fillId="0" borderId="0" xfId="1" quotePrefix="1"/>
    <xf numFmtId="0" fontId="2" fillId="0" borderId="0" xfId="2"/>
    <xf numFmtId="49" fontId="2" fillId="0" borderId="0" xfId="2" applyNumberFormat="1"/>
    <xf numFmtId="0" fontId="2" fillId="0" borderId="0" xfId="2" quotePrefix="1"/>
    <xf numFmtId="0" fontId="0" fillId="0" borderId="0" xfId="3" applyNumberFormat="1" applyFont="1"/>
    <xf numFmtId="0" fontId="0" fillId="0" borderId="0" xfId="3" applyNumberFormat="1" applyFont="1" applyAlignment="1"/>
    <xf numFmtId="0" fontId="1" fillId="0" borderId="0" xfId="1" applyFill="1"/>
    <xf numFmtId="164" fontId="1" fillId="0" borderId="0" xfId="4" applyNumberFormat="1" applyFont="1"/>
    <xf numFmtId="164" fontId="1" fillId="0" borderId="0" xfId="1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2" quotePrefix="1" applyNumberFormat="1"/>
    <xf numFmtId="164" fontId="2" fillId="0" borderId="0" xfId="2" applyNumberFormat="1"/>
    <xf numFmtId="164" fontId="0" fillId="0" borderId="0" xfId="3" applyNumberFormat="1" applyFont="1"/>
    <xf numFmtId="164" fontId="0" fillId="0" borderId="0" xfId="3" applyNumberFormat="1" applyFont="1" applyAlignment="1"/>
  </cellXfs>
  <cellStyles count="5">
    <cellStyle name="Comma 2" xfId="3" xr:uid="{7A07A871-E998-4341-B0C7-4CEC438D53CE}"/>
    <cellStyle name="Currency" xfId="4" builtinId="4"/>
    <cellStyle name="Normal" xfId="0" builtinId="0"/>
    <cellStyle name="Normal 3" xfId="1" xr:uid="{1C231F6B-5B2B-4FA7-B28E-C28F6945695E}"/>
    <cellStyle name="Normal 4" xfId="2" xr:uid="{FE16D9B7-0570-4819-8D69-448978D7473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fill>
        <patternFill patternType="none">
          <fgColor indexed="64"/>
          <bgColor indexed="65"/>
        </patternFill>
      </fill>
    </dxf>
    <dxf>
      <numFmt numFmtId="164" formatCode="_-[$$-409]* #,##0.00_ ;_-[$$-409]* \-#,##0.00\ ;_-[$$-409]* &quot;-&quot;??_ ;_-@_ 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60680DA2-1A72-43B6-B912-379F14393A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Okeleke" refreshedDate="46093.192393171295" createdVersion="8" refreshedVersion="8" minRefreshableVersion="3" recordCount="116" xr:uid="{92ADEE59-516A-4FD9-873F-DF6A8074C09B}">
  <cacheSource type="worksheet">
    <worksheetSource ref="B2:H118" sheet="Solutions-Savvy Data (2)"/>
  </cacheSource>
  <cacheFields count="7">
    <cacheField name="Company Name" numFmtId="0">
      <sharedItems/>
    </cacheField>
    <cacheField name="RACE" numFmtId="0">
      <sharedItems count="11">
        <s v="American    Indian"/>
        <s v="White"/>
        <s v="African American"/>
        <s v="American Indian"/>
        <s v="         African American"/>
        <s v="   African American"/>
        <s v="   White"/>
        <s v="    African American"/>
        <s v="  White"/>
        <s v="Asian"/>
        <s v="  African   American"/>
      </sharedItems>
    </cacheField>
    <cacheField name="FOUNDER NAME" numFmtId="0">
      <sharedItems/>
    </cacheField>
    <cacheField name="AGE" numFmtId="0">
      <sharedItems containsMixedTypes="1" containsNumber="1" containsInteger="1" minValue="43" maxValue="60"/>
    </cacheField>
    <cacheField name="FIRST NAME" numFmtId="0">
      <sharedItems containsNonDate="0" containsString="0" containsBlank="1"/>
    </cacheField>
    <cacheField name="LAST NAME" numFmtId="0">
      <sharedItems containsNonDate="0" containsString="0" containsBlank="1"/>
    </cacheField>
    <cacheField name="Net Amount" numFmtId="0">
      <sharedItems containsBlank="1" containsMixedTypes="1" containsNumber="1" minValue="35729756" maxValue="248275055" count="100">
        <s v="22216  9570"/>
        <m/>
        <n v="158405173"/>
        <n v="193319956"/>
        <s v="13132691  5"/>
        <s v="92183   872"/>
        <s v="779  8732   4"/>
        <n v="162316306"/>
        <s v="77987  324"/>
        <n v="230867743"/>
        <s v="2373  13424"/>
        <n v="202875348"/>
        <s v="20287   5348"/>
        <n v="229221231"/>
        <s v="229221  231"/>
        <n v="156092813"/>
        <n v="79893461"/>
        <n v="49627874"/>
        <n v="46033809"/>
        <n v="81178289"/>
        <n v="221112600"/>
        <n v="248275055"/>
        <s v="104   910812"/>
        <n v="127703805.99999999"/>
        <n v="160439975"/>
        <n v="42389012"/>
        <n v="203211917"/>
        <s v="19  5804281"/>
        <n v="237405842"/>
        <n v="84144849"/>
        <n v="122548714"/>
        <n v="94959493"/>
        <n v="76242361"/>
        <n v="143029032"/>
        <n v="97462096"/>
        <n v="221187886"/>
        <s v="1977 29528"/>
        <n v="202702666"/>
        <s v="246  294967"/>
        <n v="92123449"/>
        <n v="228655992"/>
        <n v="200468818"/>
        <n v="172546034"/>
        <n v="131303325.99999999"/>
        <n v="81303106"/>
        <s v="2236  68208"/>
        <n v="86942465"/>
        <s v="23 112 3268"/>
        <n v="117998710"/>
        <n v="236886314"/>
        <n v="133966105"/>
        <s v="62  628514"/>
        <n v="89642724"/>
        <n v="164514847"/>
        <n v="38570230"/>
        <n v="48742964"/>
        <n v="100238635"/>
        <n v="48752907"/>
        <n v="166960957"/>
        <n v="162041458"/>
        <n v="181882527"/>
        <n v="135976014"/>
        <n v="212296692"/>
        <n v="117885197"/>
        <n v="185498854"/>
        <n v="158235670"/>
        <n v="96513659"/>
        <n v="134302721"/>
        <n v="83590175"/>
        <n v="107864247"/>
        <n v="155903146"/>
        <n v="46856245"/>
        <n v="109447245"/>
        <n v="179601393"/>
        <n v="73646984"/>
        <n v="35729756"/>
        <n v="97634265"/>
        <n v="139224256"/>
        <n v="51659784"/>
        <n v="168695644"/>
        <n v="214869861"/>
        <n v="128122477"/>
        <n v="62306665"/>
        <n v="46981074"/>
        <n v="201303981"/>
        <n v="225614048"/>
        <n v="71499784"/>
        <n v="197933313"/>
        <n v="246582188"/>
        <s v="1   35653904"/>
        <n v="215518341"/>
        <n v="85688101"/>
        <n v="208610720"/>
        <s v="20  8610720"/>
        <n v="197914384"/>
        <n v="124577091"/>
        <n v="160565332"/>
        <n v="164658695"/>
        <n v="158696184"/>
        <n v="1892106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3 Musketeers"/>
    <x v="0"/>
    <s v="Grantley Oret"/>
    <s v="49"/>
    <m/>
    <m/>
    <x v="0"/>
  </r>
  <r>
    <s v="5 (gum)"/>
    <x v="1"/>
    <s v="Elmore WOrner"/>
    <n v="55"/>
    <m/>
    <m/>
    <x v="1"/>
  </r>
  <r>
    <s v="Callebaut"/>
    <x v="2"/>
    <s v="Karina Slocum"/>
    <s v="51"/>
    <m/>
    <m/>
    <x v="2"/>
  </r>
  <r>
    <s v="A&amp;W"/>
    <x v="3"/>
    <s v="Alida Longley"/>
    <n v="44"/>
    <m/>
    <m/>
    <x v="1"/>
  </r>
  <r>
    <s v="A&amp;W"/>
    <x v="4"/>
    <s v="Alida Longley"/>
    <s v="47"/>
    <m/>
    <m/>
    <x v="1"/>
  </r>
  <r>
    <s v="Campbell's"/>
    <x v="2"/>
    <s v="Bartholemy Schutter"/>
    <s v="4;6"/>
    <m/>
    <m/>
    <x v="3"/>
  </r>
  <r>
    <s v="Canadian Club"/>
    <x v="5"/>
    <s v="Gamaliel McRoBerts"/>
    <n v="55"/>
    <m/>
    <m/>
    <x v="4"/>
  </r>
  <r>
    <s v="Canadian Mist"/>
    <x v="2"/>
    <s v="demetre chaulk"/>
    <n v="51"/>
    <m/>
    <m/>
    <x v="5"/>
  </r>
  <r>
    <s v="Captain Morgan"/>
    <x v="5"/>
    <s v="Carlen Bruhnke"/>
    <s v=";55"/>
    <m/>
    <m/>
    <x v="6"/>
  </r>
  <r>
    <s v="Canyon Creek Food Company"/>
    <x v="2"/>
    <s v="Gabie Olivier"/>
    <n v="55"/>
    <m/>
    <m/>
    <x v="7"/>
  </r>
  <r>
    <s v="Captain Morgan"/>
    <x v="2"/>
    <s v="Carlen Bruhnke"/>
    <n v="55"/>
    <m/>
    <m/>
    <x v="8"/>
  </r>
  <r>
    <s v="5-hour Energy"/>
    <x v="1"/>
    <s v="Dud BRain"/>
    <n v="44"/>
    <m/>
    <m/>
    <x v="9"/>
  </r>
  <r>
    <s v="7 Up"/>
    <x v="2"/>
    <s v="Aguie Conford"/>
    <s v="47"/>
    <m/>
    <m/>
    <x v="1"/>
  </r>
  <r>
    <s v="A Twosome Place"/>
    <x v="6"/>
    <s v="katerina rosborough"/>
    <n v="46"/>
    <m/>
    <m/>
    <x v="10"/>
  </r>
  <r>
    <s v="Adnams"/>
    <x v="2"/>
    <s v="Christophorus Boseley"/>
    <s v="4;8"/>
    <m/>
    <m/>
    <x v="11"/>
  </r>
  <r>
    <s v="Adnams"/>
    <x v="5"/>
    <s v="Christophorus Boseley"/>
    <n v="48"/>
    <m/>
    <m/>
    <x v="12"/>
  </r>
  <r>
    <s v="Campa Cola"/>
    <x v="2"/>
    <s v="Dario Renshall"/>
    <n v="43"/>
    <m/>
    <m/>
    <x v="13"/>
  </r>
  <r>
    <s v="Campa Cola"/>
    <x v="2"/>
    <s v="Dario Renshall"/>
    <s v="4;3"/>
    <m/>
    <m/>
    <x v="14"/>
  </r>
  <r>
    <s v="Ajinomoto"/>
    <x v="1"/>
    <s v="Elmo McNee"/>
    <n v="45"/>
    <m/>
    <m/>
    <x v="15"/>
  </r>
  <r>
    <s v="Aero (chocolate)"/>
    <x v="2"/>
    <s v="Arleyne Froome"/>
    <n v="55"/>
    <m/>
    <m/>
    <x v="16"/>
  </r>
  <r>
    <s v="After Eight"/>
    <x v="2"/>
    <s v="ToDD Cashen"/>
    <s v=";50"/>
    <m/>
    <m/>
    <x v="1"/>
  </r>
  <r>
    <s v="Ajinomoto"/>
    <x v="7"/>
    <s v="Elmo McNee"/>
    <n v="45"/>
    <m/>
    <m/>
    <x v="15"/>
  </r>
  <r>
    <s v="Alpha Bits"/>
    <x v="2"/>
    <s v="Regen Nafzger"/>
    <n v="53"/>
    <m/>
    <m/>
    <x v="17"/>
  </r>
  <r>
    <s v="A.1. Sauce"/>
    <x v="1"/>
    <s v="Gareth MacCook"/>
    <n v="47"/>
    <m/>
    <m/>
    <x v="18"/>
  </r>
  <r>
    <s v="Apollinaris (water)"/>
    <x v="8"/>
    <s v="Rudolf Reichardt"/>
    <s v="46"/>
    <m/>
    <m/>
    <x v="19"/>
  </r>
  <r>
    <s v="Apple Jacks"/>
    <x v="2"/>
    <s v="tobiah fruchon"/>
    <n v="47"/>
    <m/>
    <m/>
    <x v="20"/>
  </r>
  <r>
    <s v="Applebee's"/>
    <x v="9"/>
    <s v="fay monnelly"/>
    <s v="47"/>
    <m/>
    <m/>
    <x v="21"/>
  </r>
  <r>
    <s v="Appleton Jamaica Rum"/>
    <x v="3"/>
    <s v="Lola Burrells"/>
    <n v="52"/>
    <m/>
    <m/>
    <x v="22"/>
  </r>
  <r>
    <s v="Appy Fizz"/>
    <x v="2"/>
    <s v="hamel edgeler"/>
    <s v="6;0"/>
    <m/>
    <m/>
    <x v="23"/>
  </r>
  <r>
    <s v="Aqua Pura"/>
    <x v="10"/>
    <s v="Shalne Berntssen"/>
    <n v="52"/>
    <m/>
    <m/>
    <x v="24"/>
  </r>
  <r>
    <s v="Aquafina"/>
    <x v="3"/>
    <s v="Nefen Russan"/>
    <n v="45"/>
    <m/>
    <m/>
    <x v="25"/>
  </r>
  <r>
    <s v="Arbor Mist"/>
    <x v="2"/>
    <s v="Woodie Hayhow"/>
    <n v="43"/>
    <m/>
    <m/>
    <x v="26"/>
  </r>
  <r>
    <s v="Arby's"/>
    <x v="1"/>
    <s v="Claude Ales0"/>
    <n v="58"/>
    <m/>
    <m/>
    <x v="27"/>
  </r>
  <r>
    <s v="Audi"/>
    <x v="9"/>
    <s v="Virginia Teligin"/>
    <s v="46"/>
    <m/>
    <m/>
    <x v="28"/>
  </r>
  <r>
    <s v="Auntie AnneÃ¢Â€Â™s"/>
    <x v="2"/>
    <s v="Starr Yitzhok"/>
    <n v="51"/>
    <m/>
    <m/>
    <x v="29"/>
  </r>
  <r>
    <s v="Aurelio's Pizza"/>
    <x v="1"/>
    <s v="perla durrand"/>
    <n v="43"/>
    <m/>
    <m/>
    <x v="30"/>
  </r>
  <r>
    <s v="Babybel"/>
    <x v="1"/>
    <s v="Mahala McTrustie"/>
    <n v="53"/>
    <m/>
    <m/>
    <x v="31"/>
  </r>
  <r>
    <s v="Bacardi"/>
    <x v="9"/>
    <s v="Hobart Bertrand"/>
    <n v="46"/>
    <m/>
    <m/>
    <x v="32"/>
  </r>
  <r>
    <s v="Bad Frog"/>
    <x v="1"/>
    <s v="Nobe Leathe"/>
    <n v="60"/>
    <m/>
    <m/>
    <x v="33"/>
  </r>
  <r>
    <s v="Badoit"/>
    <x v="2"/>
    <s v="Peta Gosson"/>
    <n v="53"/>
    <m/>
    <m/>
    <x v="34"/>
  </r>
  <r>
    <s v="Bagel Bites"/>
    <x v="2"/>
    <s v="Ninnette Batter"/>
    <n v="51"/>
    <m/>
    <m/>
    <x v="1"/>
  </r>
  <r>
    <s v="Baileys Irish Cream"/>
    <x v="2"/>
    <s v="Bibbie Matteoli"/>
    <n v="54"/>
    <m/>
    <m/>
    <x v="35"/>
  </r>
  <r>
    <s v="Baker's Dozen Donuts"/>
    <x v="9"/>
    <s v="Averell Paintain"/>
    <n v="49"/>
    <m/>
    <m/>
    <x v="36"/>
  </r>
  <r>
    <s v="Ballantine's"/>
    <x v="2"/>
    <s v="Marcel Fowkes"/>
    <n v="46"/>
    <m/>
    <m/>
    <x v="37"/>
  </r>
  <r>
    <s v="Banania"/>
    <x v="9"/>
    <s v="Artus Cawcutt"/>
    <s v="46"/>
    <m/>
    <m/>
    <x v="38"/>
  </r>
  <r>
    <s v="Barq's"/>
    <x v="9"/>
    <s v="Emili Cowl"/>
    <n v="56"/>
    <m/>
    <m/>
    <x v="39"/>
  </r>
  <r>
    <s v="Barry's Tea"/>
    <x v="9"/>
    <s v="Edeline Painten"/>
    <n v="52"/>
    <m/>
    <m/>
    <x v="40"/>
  </r>
  <r>
    <s v="Baskin-Robbins"/>
    <x v="2"/>
    <s v="Meggi McIlory"/>
    <n v="50"/>
    <m/>
    <m/>
    <x v="41"/>
  </r>
  <r>
    <s v="Bass Brewery"/>
    <x v="1"/>
    <s v="Giordano Muckian"/>
    <n v="56"/>
    <m/>
    <m/>
    <x v="42"/>
  </r>
  <r>
    <s v="Batemans Brewery"/>
    <x v="2"/>
    <s v="Nickolas Coopey"/>
    <n v="56"/>
    <m/>
    <m/>
    <x v="43"/>
  </r>
  <r>
    <s v="Beacon Drive In"/>
    <x v="2"/>
    <s v="Corrina Blooman"/>
    <n v="58"/>
    <m/>
    <m/>
    <x v="44"/>
  </r>
  <r>
    <s v="Beam Suntory"/>
    <x v="1"/>
    <s v="Odey Brough"/>
    <n v="51"/>
    <m/>
    <m/>
    <x v="45"/>
  </r>
  <r>
    <s v="Becel"/>
    <x v="2"/>
    <s v="Lenka Astridge"/>
    <n v="47"/>
    <m/>
    <m/>
    <x v="46"/>
  </r>
  <r>
    <s v="Beck's"/>
    <x v="2"/>
    <s v="Gunar Dinkin"/>
    <n v="52"/>
    <m/>
    <m/>
    <x v="47"/>
  </r>
  <r>
    <s v="Beech-Nut"/>
    <x v="3"/>
    <s v="Gale Dreossi"/>
    <n v="60"/>
    <m/>
    <m/>
    <x v="48"/>
  </r>
  <r>
    <s v="Beefeater Gin"/>
    <x v="1"/>
    <s v="Chrysa Brownell"/>
    <n v="45"/>
    <m/>
    <m/>
    <x v="49"/>
  </r>
  <r>
    <s v="Bega Cheese"/>
    <x v="1"/>
    <s v="Britte Royds"/>
    <s v="4;9"/>
    <m/>
    <m/>
    <x v="50"/>
  </r>
  <r>
    <s v="BelGioioso Cheese"/>
    <x v="1"/>
    <s v="Bil Wanden"/>
    <n v="46"/>
    <m/>
    <m/>
    <x v="51"/>
  </r>
  <r>
    <s v="Bell's whisky"/>
    <x v="1"/>
    <s v="Ronda Dictus"/>
    <n v="58"/>
    <m/>
    <m/>
    <x v="52"/>
  </r>
  <r>
    <s v="Belvedere Vodka"/>
    <x v="3"/>
    <s v="Loree Neno"/>
    <n v="56"/>
    <m/>
    <m/>
    <x v="53"/>
  </r>
  <r>
    <s v="Bembos"/>
    <x v="2"/>
    <s v="Teena Tolan"/>
    <s v="46"/>
    <m/>
    <m/>
    <x v="54"/>
  </r>
  <r>
    <s v="Ben &amp; Jerry's"/>
    <x v="3"/>
    <s v="Karine Seage"/>
    <n v="60"/>
    <m/>
    <m/>
    <x v="55"/>
  </r>
  <r>
    <s v="Bertolli"/>
    <x v="2"/>
    <s v="Diandra Bourget"/>
    <n v="55"/>
    <m/>
    <m/>
    <x v="56"/>
  </r>
  <r>
    <s v="Big Boy Restaurants"/>
    <x v="1"/>
    <s v="Dodi Caves"/>
    <n v="55"/>
    <m/>
    <m/>
    <x v="57"/>
  </r>
  <r>
    <s v="Bionade"/>
    <x v="1"/>
    <s v="Hyman Dancey"/>
    <n v="55"/>
    <m/>
    <m/>
    <x v="58"/>
  </r>
  <r>
    <s v="Birds Eye"/>
    <x v="1"/>
    <s v="Rourke Dawkins"/>
    <s v="5;3"/>
    <m/>
    <m/>
    <x v="59"/>
  </r>
  <r>
    <s v="Bisleri"/>
    <x v="1"/>
    <s v="Northrup Arendt"/>
    <n v="47"/>
    <m/>
    <m/>
    <x v="60"/>
  </r>
  <r>
    <s v="Bisto"/>
    <x v="9"/>
    <s v="Guntar Arro"/>
    <n v="44"/>
    <m/>
    <m/>
    <x v="61"/>
  </r>
  <r>
    <s v="Bitburger Brewery"/>
    <x v="2"/>
    <s v="Midge Orpyne"/>
    <n v="52"/>
    <m/>
    <m/>
    <x v="62"/>
  </r>
  <r>
    <s v="Black Velvet (whisky)"/>
    <x v="9"/>
    <s v="Isador Crady"/>
    <n v="57"/>
    <m/>
    <m/>
    <x v="63"/>
  </r>
  <r>
    <s v="Blavod"/>
    <x v="3"/>
    <s v="Nichol Dionisii"/>
    <n v="55"/>
    <m/>
    <m/>
    <x v="64"/>
  </r>
  <r>
    <s v="Blue Band"/>
    <x v="9"/>
    <s v="Dorey Diperaus"/>
    <n v="58"/>
    <m/>
    <m/>
    <x v="65"/>
  </r>
  <r>
    <s v="Blue Bell Creameries"/>
    <x v="1"/>
    <s v="Lanie Plewes"/>
    <n v="43"/>
    <m/>
    <m/>
    <x v="66"/>
  </r>
  <r>
    <s v="Blue Bonnet"/>
    <x v="3"/>
    <s v="Mahmoud DeL'Isle"/>
    <n v="60"/>
    <m/>
    <m/>
    <x v="67"/>
  </r>
  <r>
    <s v="Bluna"/>
    <x v="2"/>
    <s v="Carlynne Gouldthorpe"/>
    <s v="46"/>
    <m/>
    <m/>
    <x v="68"/>
  </r>
  <r>
    <s v="Boddingtons"/>
    <x v="2"/>
    <s v="Modesta Lanktree"/>
    <n v="47"/>
    <m/>
    <m/>
    <x v="69"/>
  </r>
  <r>
    <s v="BOH tea"/>
    <x v="2"/>
    <s v="Tildie Ranvoise"/>
    <n v="60"/>
    <m/>
    <m/>
    <x v="70"/>
  </r>
  <r>
    <s v="Bombay Sapphire"/>
    <x v="9"/>
    <s v="Tallulah Dowty"/>
    <n v="60"/>
    <m/>
    <m/>
    <x v="71"/>
  </r>
  <r>
    <s v="Boost (chocolate bar)"/>
    <x v="2"/>
    <s v="Addie Coldman"/>
    <n v="45"/>
    <m/>
    <m/>
    <x v="72"/>
  </r>
  <r>
    <s v="Boost (drink)"/>
    <x v="3"/>
    <s v="Eleanore Pudner"/>
    <n v="58"/>
    <m/>
    <m/>
    <x v="73"/>
  </r>
  <r>
    <s v="Boursin cheese"/>
    <x v="2"/>
    <s v="Carlene Goldwater"/>
    <n v="48"/>
    <m/>
    <m/>
    <x v="74"/>
  </r>
  <r>
    <s v="Branston"/>
    <x v="2"/>
    <s v="Amara Jacobs"/>
    <n v="56"/>
    <m/>
    <m/>
    <x v="75"/>
  </r>
  <r>
    <s v="Brewers Fayre"/>
    <x v="1"/>
    <s v="Heall Conville"/>
    <n v="43"/>
    <m/>
    <m/>
    <x v="76"/>
  </r>
  <r>
    <s v="Breyers"/>
    <x v="2"/>
    <s v="Jake Dawdry"/>
    <s v="46"/>
    <m/>
    <m/>
    <x v="77"/>
  </r>
  <r>
    <s v="Brim coffee"/>
    <x v="1"/>
    <s v="Maribelle Bisson"/>
    <n v="52"/>
    <m/>
    <m/>
    <x v="78"/>
  </r>
  <r>
    <s v="Brooke Bond"/>
    <x v="1"/>
    <s v="Calypso Connold"/>
    <n v="53"/>
    <m/>
    <m/>
    <x v="79"/>
  </r>
  <r>
    <s v="Bubble Up"/>
    <x v="9"/>
    <s v="Tanitansy Fancett"/>
    <n v="43"/>
    <m/>
    <m/>
    <x v="80"/>
  </r>
  <r>
    <s v="Budweiser"/>
    <x v="2"/>
    <s v="Allyce Giacobazzi"/>
    <n v="44"/>
    <m/>
    <m/>
    <x v="81"/>
  </r>
  <r>
    <s v="Burger Chef"/>
    <x v="3"/>
    <s v="Filberte Morant"/>
    <n v="45"/>
    <m/>
    <m/>
    <x v="82"/>
  </r>
  <r>
    <s v="Burger King"/>
    <x v="9"/>
    <s v="Sergei Glidden"/>
    <n v="50"/>
    <m/>
    <m/>
    <x v="83"/>
  </r>
  <r>
    <s v="Brooke Bond"/>
    <x v="1"/>
    <s v="Calypso Connold"/>
    <n v="53"/>
    <m/>
    <m/>
    <x v="79"/>
  </r>
  <r>
    <s v="Bubble Up"/>
    <x v="9"/>
    <s v="Tanitansy Fancett"/>
    <n v="43"/>
    <m/>
    <m/>
    <x v="80"/>
  </r>
  <r>
    <s v="Budweiser"/>
    <x v="2"/>
    <s v="Allyce Giacobazzi"/>
    <n v="44"/>
    <m/>
    <m/>
    <x v="81"/>
  </r>
  <r>
    <s v="Burger Chef"/>
    <x v="3"/>
    <s v="Filberte Morant"/>
    <n v="45"/>
    <m/>
    <m/>
    <x v="82"/>
  </r>
  <r>
    <s v="Burger King"/>
    <x v="9"/>
    <s v="Sergei Glidden"/>
    <n v="50"/>
    <m/>
    <m/>
    <x v="83"/>
  </r>
  <r>
    <s v="Burger Rings"/>
    <x v="2"/>
    <s v="Chelsy Clacey"/>
    <n v="48"/>
    <m/>
    <m/>
    <x v="84"/>
  </r>
  <r>
    <s v="Bushells"/>
    <x v="2"/>
    <s v="Romy Sandever"/>
    <s v="46"/>
    <m/>
    <m/>
    <x v="85"/>
  </r>
  <r>
    <s v="Butterfinger"/>
    <x v="3"/>
    <s v="Rorie Rice"/>
    <n v="55"/>
    <m/>
    <m/>
    <x v="86"/>
  </r>
  <r>
    <s v="Cadbury Creme Egg"/>
    <x v="3"/>
    <s v="Karel Gullen"/>
    <n v="46"/>
    <m/>
    <m/>
    <x v="87"/>
  </r>
  <r>
    <s v="Cadbury Dairy Milk"/>
    <x v="2"/>
    <s v="Marcela Bostock"/>
    <n v="56"/>
    <m/>
    <m/>
    <x v="88"/>
  </r>
  <r>
    <s v="Cadbury Roses"/>
    <x v="9"/>
    <s v="Agretha Brunning"/>
    <n v="58"/>
    <m/>
    <m/>
    <x v="89"/>
  </r>
  <r>
    <s v="A.1. Sauce"/>
    <x v="7"/>
    <s v="Gareth MacCook"/>
    <n v="47"/>
    <m/>
    <m/>
    <x v="18"/>
  </r>
  <r>
    <s v="Camp Coffee"/>
    <x v="1"/>
    <s v="Gun Heathorn"/>
    <n v="46"/>
    <m/>
    <m/>
    <x v="90"/>
  </r>
  <r>
    <s v="Camp Coffee"/>
    <x v="2"/>
    <s v="Gun Heathorn"/>
    <n v="46"/>
    <m/>
    <m/>
    <x v="90"/>
  </r>
  <r>
    <s v="A&amp;W Root Beer"/>
    <x v="3"/>
    <s v="Laraine Petre"/>
    <n v="58"/>
    <m/>
    <m/>
    <x v="91"/>
  </r>
  <r>
    <s v="A&amp;W Root Beer"/>
    <x v="2"/>
    <s v="Laraine Petre"/>
    <n v="58"/>
    <m/>
    <m/>
    <x v="91"/>
  </r>
  <r>
    <s v="Amstel Brewery"/>
    <x v="1"/>
    <s v="Penelope Wenman"/>
    <n v="51"/>
    <m/>
    <m/>
    <x v="92"/>
  </r>
  <r>
    <s v="Amstel Brewery"/>
    <x v="7"/>
    <s v="Penelope Wenman"/>
    <n v="51"/>
    <m/>
    <m/>
    <x v="93"/>
  </r>
  <r>
    <s v="Cafe Britt"/>
    <x v="2"/>
    <s v="Willdon Pirozzi"/>
    <n v="49"/>
    <m/>
    <m/>
    <x v="94"/>
  </r>
  <r>
    <s v="Cailler"/>
    <x v="2"/>
    <s v="Paddie Mallebone"/>
    <n v="46"/>
    <m/>
    <m/>
    <x v="95"/>
  </r>
  <r>
    <s v="Absolut Vodka"/>
    <x v="7"/>
    <s v="Scottie Chestney"/>
    <n v="49"/>
    <m/>
    <m/>
    <x v="96"/>
  </r>
  <r>
    <s v="Absolut Vodka"/>
    <x v="2"/>
    <s v="Scottie Chestney"/>
    <n v="49"/>
    <m/>
    <m/>
    <x v="96"/>
  </r>
  <r>
    <s v="Candwich"/>
    <x v="9"/>
    <s v="Temple Banasevich"/>
    <n v="60"/>
    <m/>
    <m/>
    <x v="97"/>
  </r>
  <r>
    <s v="Candwich"/>
    <x v="2"/>
    <s v="Temple Banasevich"/>
    <n v="60"/>
    <m/>
    <m/>
    <x v="97"/>
  </r>
  <r>
    <s v="Carabao"/>
    <x v="2"/>
    <s v="Nathaniel Coolahan"/>
    <n v="46"/>
    <m/>
    <m/>
    <x v="98"/>
  </r>
  <r>
    <s v="Caribou Coffee"/>
    <x v="5"/>
    <s v="Sarajane Price"/>
    <n v="54"/>
    <m/>
    <m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54999-F78F-42EA-88BE-B3B80C96C38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4" firstHeaderRow="1" firstDataRow="1" firstDataCol="1"/>
  <pivotFields count="7">
    <pivotField showAll="0"/>
    <pivotField showAll="0">
      <items count="12">
        <item x="4"/>
        <item x="7"/>
        <item x="5"/>
        <item x="6"/>
        <item x="10"/>
        <item x="8"/>
        <item x="2"/>
        <item x="0"/>
        <item x="3"/>
        <item x="9"/>
        <item x="1"/>
        <item t="default"/>
      </items>
    </pivotField>
    <pivotField showAll="0"/>
    <pivotField showAll="0"/>
    <pivotField showAll="0"/>
    <pivotField showAll="0"/>
    <pivotField axis="axisRow" showAll="0">
      <items count="101">
        <item x="75"/>
        <item x="54"/>
        <item x="25"/>
        <item x="18"/>
        <item x="71"/>
        <item x="83"/>
        <item x="55"/>
        <item x="57"/>
        <item x="17"/>
        <item x="78"/>
        <item x="82"/>
        <item x="86"/>
        <item x="74"/>
        <item x="32"/>
        <item x="16"/>
        <item x="19"/>
        <item x="44"/>
        <item x="68"/>
        <item x="29"/>
        <item x="91"/>
        <item x="46"/>
        <item x="52"/>
        <item x="39"/>
        <item x="31"/>
        <item x="66"/>
        <item x="34"/>
        <item x="76"/>
        <item x="56"/>
        <item x="69"/>
        <item x="72"/>
        <item x="63"/>
        <item x="48"/>
        <item x="30"/>
        <item x="95"/>
        <item x="23"/>
        <item x="81"/>
        <item x="43"/>
        <item x="50"/>
        <item x="67"/>
        <item x="61"/>
        <item x="77"/>
        <item x="33"/>
        <item x="70"/>
        <item x="15"/>
        <item x="65"/>
        <item x="2"/>
        <item x="98"/>
        <item x="24"/>
        <item x="96"/>
        <item x="59"/>
        <item x="7"/>
        <item x="53"/>
        <item x="97"/>
        <item x="58"/>
        <item x="79"/>
        <item x="42"/>
        <item x="73"/>
        <item x="60"/>
        <item x="64"/>
        <item x="99"/>
        <item x="3"/>
        <item x="94"/>
        <item x="87"/>
        <item x="41"/>
        <item x="84"/>
        <item x="37"/>
        <item x="11"/>
        <item x="26"/>
        <item x="92"/>
        <item x="62"/>
        <item x="80"/>
        <item x="90"/>
        <item x="20"/>
        <item x="35"/>
        <item x="85"/>
        <item x="40"/>
        <item x="13"/>
        <item x="9"/>
        <item x="49"/>
        <item x="28"/>
        <item x="88"/>
        <item x="21"/>
        <item x="89"/>
        <item x="22"/>
        <item x="4"/>
        <item x="27"/>
        <item x="36"/>
        <item x="93"/>
        <item x="12"/>
        <item x="0"/>
        <item x="45"/>
        <item x="14"/>
        <item x="47"/>
        <item x="10"/>
        <item x="38"/>
        <item x="51"/>
        <item x="6"/>
        <item x="8"/>
        <item x="5"/>
        <item x="1"/>
        <item t="default"/>
      </items>
    </pivotField>
  </pivotFields>
  <rowFields count="1">
    <field x="6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9BE23-51BE-404D-B5AA-56D758C588CA}" name="Table1" displayName="Table1" ref="B2:S26" totalsRowShown="0" headerRowCellStyle="Normal 3" dataCellStyle="Normal 3">
  <autoFilter ref="B2:S26" xr:uid="{0979BE23-51BE-404D-B5AA-56D758C588CA}"/>
  <tableColumns count="18">
    <tableColumn id="1" xr3:uid="{00EE0E3A-EEF8-403C-BCA5-54243E5D21C8}" name="Customer ID" dataDxfId="12" dataCellStyle="Normal 3"/>
    <tableColumn id="2" xr3:uid="{0BAD2A07-1AF4-4388-94E8-867CE0DC79BE}" name="Customer Name" dataCellStyle="Normal 3"/>
    <tableColumn id="12" xr3:uid="{50A74798-C55A-460A-B3C6-F415DD111CBC}" name="First Name" dataCellStyle="Normal 3"/>
    <tableColumn id="11" xr3:uid="{46869573-E493-409B-867F-BF0D268C8AA1}" name="Last Name" dataCellStyle="Normal 3"/>
    <tableColumn id="3" xr3:uid="{88CCCC53-8ADF-4146-B27E-5AAD567DC28E}" name="Brand" dataCellStyle="Normal 3"/>
    <tableColumn id="4" xr3:uid="{002C8087-2829-4481-9B07-1C0849B2ED43}" name="Product" dataDxfId="9" dataCellStyle="Normal 3"/>
    <tableColumn id="23" xr3:uid="{EC645943-B476-489D-BDC9-59A21FAEB46C}" name="Location" dataCellStyle="Normal 3"/>
    <tableColumn id="14" xr3:uid="{17031326-EE87-409B-BEAA-F32243866AD9}" name="City" dataCellStyle="Normal 3"/>
    <tableColumn id="13" xr3:uid="{D3578E7C-1EDC-48F3-8C37-656C1F60628B}" name="Country" dataCellStyle="Normal 3"/>
    <tableColumn id="6" xr3:uid="{3E53B1B3-DBF1-4622-88EC-BB163ADDA83C}" name="Quantity" dataDxfId="11" dataCellStyle="Normal 3"/>
    <tableColumn id="7" xr3:uid="{15C1E39B-64BF-4601-B56F-4EE5DFC62319}" name="Price" dataDxfId="10" dataCellStyle="Currency"/>
    <tableColumn id="8" xr3:uid="{CACEAA88-D2E3-4105-8C27-16962DA6B7F0}" name="Cost per unit" dataCellStyle="Normal 3"/>
    <tableColumn id="16" xr3:uid="{5CBE02B6-9F7E-435A-A872-CCAF1A7C14F0}" name="Revenue" dataDxfId="8" dataCellStyle="Normal 3">
      <calculatedColumnFormula>Table1[[#This Row],[Quantity]]*Table1[[#This Row],[Price]]</calculatedColumnFormula>
    </tableColumn>
    <tableColumn id="17" xr3:uid="{4662F623-4D10-45F1-836B-72F94DC75A44}" name="Cost" dataDxfId="7" dataCellStyle="Normal 3">
      <calculatedColumnFormula>Table1[[#This Row],[Cost per unit]]*Table1[[#This Row],[Quantity]]</calculatedColumnFormula>
    </tableColumn>
    <tableColumn id="18" xr3:uid="{BD5FAFAB-15E0-40C8-8AB3-DDE56857DB2A}" name="Profit" dataDxfId="6" dataCellStyle="Normal 3">
      <calculatedColumnFormula>Table1[[#This Row],[Revenue]]-Table1[[#This Row],[Cost]]</calculatedColumnFormula>
    </tableColumn>
    <tableColumn id="19" xr3:uid="{6283D734-2EBA-4EF5-BFAB-DB818C5E8743}" name="5% Discount" dataDxfId="5" dataCellStyle="Normal 3">
      <calculatedColumnFormula>Table1[[#This Row],[Revenue]]*5%</calculatedColumnFormula>
    </tableColumn>
    <tableColumn id="20" xr3:uid="{5735E8DB-6287-412F-9BC5-5496F782D4A0}" name="7% Discount" dataDxfId="4" dataCellStyle="Normal 3">
      <calculatedColumnFormula>Table1[[#This Row],[Revenue]]*7%</calculatedColumnFormula>
    </tableColumn>
    <tableColumn id="21" xr3:uid="{320E1327-3082-4FC3-8F06-A71D51D70AD9}" name="10% Discount" dataDxfId="3" dataCellStyle="Normal 3">
      <calculatedColumnFormula>Table1[[#This Row],[Revenue]]*10%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3FB7F-A9A9-4678-9095-1F6AB12FDBDF}" name="Table3" displayName="Table3" ref="B2:H118" totalsRowShown="0" headerRowCellStyle="Normal 4" dataCellStyle="Normal 4">
  <autoFilter ref="B2:H118" xr:uid="{06A3FB7F-A9A9-4678-9095-1F6AB12FDBDF}"/>
  <tableColumns count="7">
    <tableColumn id="1" xr3:uid="{913A1C3F-46A4-424E-A630-EF73A9245DB5}" name="Company Name" dataCellStyle="Normal 4"/>
    <tableColumn id="3" xr3:uid="{80AC984B-9BE9-4260-81F6-3E7C4D2AF445}" name="FOUNDER NAME" dataCellStyle="Normal 4"/>
    <tableColumn id="11" xr3:uid="{6ABBE2A3-4072-48EE-BFED-D4A141BB3AF7}" name="FIRST NAME" dataCellStyle="Normal 4"/>
    <tableColumn id="12" xr3:uid="{26FF0241-F47C-4FAB-AD85-A1662169CC9F}" name="LAST NAME" dataCellStyle="Normal 4"/>
    <tableColumn id="4" xr3:uid="{CB1478E6-C6D9-4DA7-A6C3-7894918588A5}" name="RACE2" dataCellStyle="Normal 4"/>
    <tableColumn id="15" xr3:uid="{C723972F-3CCF-4909-A56B-88E399F4C488}" name="AGE2" dataCellStyle="Normal 4"/>
    <tableColumn id="7" xr3:uid="{34FABD66-97FA-4287-964C-7142A34D8F10}" name="NetAmount" dataDxfId="2" dataCellStyle="Comma 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94A9-6236-46F5-9BD0-29F1A41C27FA}">
  <dimension ref="B2:I28"/>
  <sheetViews>
    <sheetView zoomScaleNormal="100" workbookViewId="0">
      <selection activeCell="E15" sqref="E15"/>
    </sheetView>
  </sheetViews>
  <sheetFormatPr defaultColWidth="12.21875" defaultRowHeight="15.6" x14ac:dyDescent="0.3"/>
  <cols>
    <col min="1" max="1" width="8.33203125" style="1" customWidth="1"/>
    <col min="2" max="2" width="12.21875" style="1"/>
    <col min="3" max="3" width="18.77734375" style="1" customWidth="1"/>
    <col min="4" max="4" width="19.21875" style="1" customWidth="1"/>
    <col min="5" max="5" width="15.109375" style="1" bestFit="1" customWidth="1"/>
    <col min="6" max="6" width="18.44140625" style="1" bestFit="1" customWidth="1"/>
    <col min="7" max="7" width="12.21875" style="1"/>
    <col min="8" max="8" width="7.109375" style="1" bestFit="1" customWidth="1"/>
    <col min="9" max="9" width="24.77734375" style="1" customWidth="1"/>
    <col min="10" max="16384" width="12.21875" style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2">
        <v>1295</v>
      </c>
      <c r="C3" s="1" t="s">
        <v>8</v>
      </c>
      <c r="D3" s="1" t="s">
        <v>9</v>
      </c>
      <c r="E3" s="1" t="s">
        <v>10</v>
      </c>
      <c r="F3" s="1" t="s">
        <v>11</v>
      </c>
      <c r="G3" s="3">
        <v>6870</v>
      </c>
      <c r="H3" s="1" t="s">
        <v>12</v>
      </c>
      <c r="I3" s="1">
        <v>51</v>
      </c>
    </row>
    <row r="4" spans="2:9" x14ac:dyDescent="0.3">
      <c r="B4" s="2">
        <v>1298</v>
      </c>
      <c r="C4" s="1" t="s">
        <v>13</v>
      </c>
      <c r="D4" s="1" t="s">
        <v>14</v>
      </c>
      <c r="E4" s="1" t="s">
        <v>15</v>
      </c>
      <c r="F4" s="1" t="s">
        <v>16</v>
      </c>
      <c r="G4" s="3">
        <v>3125</v>
      </c>
      <c r="H4" s="1" t="s">
        <v>17</v>
      </c>
      <c r="I4" s="4" t="s">
        <v>18</v>
      </c>
    </row>
    <row r="5" spans="2:9" x14ac:dyDescent="0.3">
      <c r="B5" s="2">
        <v>1301</v>
      </c>
      <c r="C5" s="1" t="s">
        <v>19</v>
      </c>
      <c r="D5" s="1" t="s">
        <v>20</v>
      </c>
      <c r="E5" s="1" t="s">
        <v>21</v>
      </c>
      <c r="F5" s="1" t="s">
        <v>22</v>
      </c>
      <c r="G5" s="3">
        <v>5526</v>
      </c>
      <c r="H5" s="1" t="s">
        <v>23</v>
      </c>
      <c r="I5" s="1">
        <v>56</v>
      </c>
    </row>
    <row r="6" spans="2:9" x14ac:dyDescent="0.3">
      <c r="B6" s="2">
        <v>1304</v>
      </c>
      <c r="C6" s="1" t="s">
        <v>24</v>
      </c>
      <c r="D6" s="1" t="s">
        <v>25</v>
      </c>
      <c r="E6" s="1" t="s">
        <v>26</v>
      </c>
      <c r="F6" s="1" t="s">
        <v>27</v>
      </c>
      <c r="G6" s="3">
        <v>3706</v>
      </c>
      <c r="H6" s="1" t="s">
        <v>28</v>
      </c>
      <c r="I6" s="1">
        <v>25</v>
      </c>
    </row>
    <row r="7" spans="2:9" x14ac:dyDescent="0.3">
      <c r="B7" s="2">
        <v>1307</v>
      </c>
      <c r="C7" s="1" t="s">
        <v>29</v>
      </c>
      <c r="F7" s="1" t="s">
        <v>27</v>
      </c>
      <c r="G7" s="3">
        <v>3459</v>
      </c>
      <c r="H7" s="1" t="s">
        <v>30</v>
      </c>
      <c r="I7" s="1">
        <v>27</v>
      </c>
    </row>
    <row r="8" spans="2:9" x14ac:dyDescent="0.3">
      <c r="B8" s="2">
        <v>1310</v>
      </c>
      <c r="C8" s="1" t="s">
        <v>31</v>
      </c>
      <c r="D8" s="1" t="s">
        <v>32</v>
      </c>
      <c r="E8" s="1" t="s">
        <v>33</v>
      </c>
      <c r="F8" s="1" t="s">
        <v>11</v>
      </c>
      <c r="G8" s="3">
        <v>3210</v>
      </c>
      <c r="H8" s="1" t="s">
        <v>34</v>
      </c>
      <c r="I8" s="4" t="s">
        <v>35</v>
      </c>
    </row>
    <row r="9" spans="2:9" x14ac:dyDescent="0.3">
      <c r="B9" s="2">
        <v>1313</v>
      </c>
      <c r="C9" s="1" t="s">
        <v>36</v>
      </c>
      <c r="D9" s="1" t="s">
        <v>37</v>
      </c>
      <c r="E9" s="1" t="s">
        <v>38</v>
      </c>
      <c r="F9" s="1" t="s">
        <v>11</v>
      </c>
      <c r="G9" s="3">
        <v>2844</v>
      </c>
      <c r="H9" s="1" t="s">
        <v>39</v>
      </c>
      <c r="I9" s="1">
        <v>59</v>
      </c>
    </row>
    <row r="10" spans="2:9" x14ac:dyDescent="0.3">
      <c r="B10" s="2"/>
      <c r="G10" s="3"/>
    </row>
    <row r="11" spans="2:9" x14ac:dyDescent="0.3">
      <c r="B11" s="2">
        <v>1316</v>
      </c>
      <c r="C11" s="1" t="s">
        <v>40</v>
      </c>
      <c r="D11" s="1" t="s">
        <v>37</v>
      </c>
      <c r="E11" s="1" t="s">
        <v>41</v>
      </c>
      <c r="F11" s="1" t="s">
        <v>42</v>
      </c>
      <c r="G11" s="3">
        <v>4613</v>
      </c>
      <c r="H11" s="1" t="s">
        <v>43</v>
      </c>
      <c r="I11" s="1">
        <v>30</v>
      </c>
    </row>
    <row r="12" spans="2:9" x14ac:dyDescent="0.3">
      <c r="B12" s="2">
        <v>1319</v>
      </c>
      <c r="C12" s="1" t="s">
        <v>44</v>
      </c>
      <c r="D12" s="1" t="s">
        <v>32</v>
      </c>
      <c r="E12" s="1" t="s">
        <v>33</v>
      </c>
      <c r="F12" s="1" t="s">
        <v>42</v>
      </c>
      <c r="G12" s="3">
        <v>3830</v>
      </c>
      <c r="H12" s="1" t="s">
        <v>45</v>
      </c>
      <c r="I12" s="1">
        <v>72</v>
      </c>
    </row>
    <row r="13" spans="2:9" x14ac:dyDescent="0.3">
      <c r="B13" s="2">
        <v>1322</v>
      </c>
      <c r="C13" s="1" t="s">
        <v>46</v>
      </c>
      <c r="D13" s="1" t="s">
        <v>32</v>
      </c>
      <c r="E13" s="1" t="s">
        <v>33</v>
      </c>
      <c r="F13" s="1" t="s">
        <v>16</v>
      </c>
      <c r="G13" s="3">
        <v>3594</v>
      </c>
      <c r="H13" s="1" t="s">
        <v>47</v>
      </c>
      <c r="I13" s="1">
        <v>68</v>
      </c>
    </row>
    <row r="14" spans="2:9" x14ac:dyDescent="0.3">
      <c r="B14" s="2">
        <v>1325</v>
      </c>
      <c r="C14" s="1" t="s">
        <v>48</v>
      </c>
      <c r="D14" s="1" t="s">
        <v>37</v>
      </c>
      <c r="E14" s="1" t="s">
        <v>49</v>
      </c>
      <c r="F14" s="1" t="s">
        <v>42</v>
      </c>
      <c r="G14" s="3">
        <v>6852</v>
      </c>
      <c r="H14" s="1" t="s">
        <v>12</v>
      </c>
      <c r="I14" s="1">
        <v>25</v>
      </c>
    </row>
    <row r="15" spans="2:9" x14ac:dyDescent="0.3">
      <c r="B15" s="2">
        <v>1328</v>
      </c>
      <c r="D15" s="1" t="s">
        <v>37</v>
      </c>
      <c r="E15" s="1" t="s">
        <v>49</v>
      </c>
      <c r="F15" s="1" t="s">
        <v>42</v>
      </c>
      <c r="G15" s="3">
        <v>3775</v>
      </c>
      <c r="H15" s="1" t="s">
        <v>17</v>
      </c>
      <c r="I15" s="4" t="s">
        <v>50</v>
      </c>
    </row>
    <row r="16" spans="2:9" x14ac:dyDescent="0.3">
      <c r="B16" s="2">
        <v>1331</v>
      </c>
      <c r="C16" s="1" t="s">
        <v>51</v>
      </c>
      <c r="D16" s="1" t="s">
        <v>32</v>
      </c>
      <c r="E16" s="1" t="s">
        <v>33</v>
      </c>
      <c r="F16" s="1" t="s">
        <v>42</v>
      </c>
      <c r="G16" s="3">
        <v>6422</v>
      </c>
      <c r="H16" s="1" t="s">
        <v>23</v>
      </c>
      <c r="I16" s="1">
        <v>26</v>
      </c>
    </row>
    <row r="17" spans="2:9" x14ac:dyDescent="0.3">
      <c r="B17" s="2">
        <v>1334</v>
      </c>
      <c r="C17" s="1" t="s">
        <v>52</v>
      </c>
      <c r="D17" s="1" t="s">
        <v>37</v>
      </c>
      <c r="E17" s="1" t="s">
        <v>41</v>
      </c>
      <c r="F17" s="1" t="s">
        <v>16</v>
      </c>
      <c r="G17" s="3">
        <v>2187</v>
      </c>
      <c r="H17" s="1" t="s">
        <v>28</v>
      </c>
      <c r="I17" s="1">
        <v>34</v>
      </c>
    </row>
    <row r="18" spans="2:9" x14ac:dyDescent="0.3">
      <c r="B18" s="2">
        <v>1337</v>
      </c>
      <c r="C18" s="1" t="s">
        <v>53</v>
      </c>
      <c r="D18" s="1" t="s">
        <v>37</v>
      </c>
      <c r="E18" s="1" t="s">
        <v>41</v>
      </c>
      <c r="F18" s="1" t="s">
        <v>54</v>
      </c>
      <c r="G18" s="3">
        <v>2156</v>
      </c>
      <c r="H18" s="1" t="s">
        <v>30</v>
      </c>
      <c r="I18" s="1">
        <v>26</v>
      </c>
    </row>
    <row r="19" spans="2:9" x14ac:dyDescent="0.3">
      <c r="B19" s="2">
        <v>1340</v>
      </c>
      <c r="C19" s="1" t="s">
        <v>55</v>
      </c>
      <c r="D19" s="1" t="s">
        <v>56</v>
      </c>
      <c r="E19" s="1" t="s">
        <v>57</v>
      </c>
      <c r="F19" s="1" t="s">
        <v>54</v>
      </c>
      <c r="G19" s="3">
        <v>2492</v>
      </c>
      <c r="H19" s="1" t="s">
        <v>34</v>
      </c>
      <c r="I19" s="4" t="s">
        <v>58</v>
      </c>
    </row>
    <row r="20" spans="2:9" x14ac:dyDescent="0.3">
      <c r="B20" s="2"/>
      <c r="G20" s="3"/>
      <c r="I20" s="4"/>
    </row>
    <row r="21" spans="2:9" x14ac:dyDescent="0.3">
      <c r="B21" s="2">
        <v>1343</v>
      </c>
      <c r="C21" s="1" t="s">
        <v>59</v>
      </c>
      <c r="E21" s="1" t="s">
        <v>60</v>
      </c>
      <c r="F21" s="1" t="s">
        <v>54</v>
      </c>
      <c r="G21" s="3">
        <v>6829</v>
      </c>
      <c r="H21" s="1" t="s">
        <v>39</v>
      </c>
      <c r="I21" s="1">
        <v>30</v>
      </c>
    </row>
    <row r="22" spans="2:9" x14ac:dyDescent="0.3">
      <c r="B22" s="2">
        <v>1346</v>
      </c>
      <c r="C22" s="1" t="s">
        <v>61</v>
      </c>
      <c r="D22" s="1" t="s">
        <v>56</v>
      </c>
      <c r="E22" s="1" t="s">
        <v>57</v>
      </c>
      <c r="F22" s="1" t="s">
        <v>54</v>
      </c>
      <c r="G22" s="3">
        <v>4143</v>
      </c>
      <c r="H22" s="1" t="s">
        <v>43</v>
      </c>
      <c r="I22" s="1">
        <v>47</v>
      </c>
    </row>
    <row r="23" spans="2:9" x14ac:dyDescent="0.3">
      <c r="B23" s="2">
        <v>1349</v>
      </c>
      <c r="C23" s="1" t="s">
        <v>62</v>
      </c>
      <c r="D23" s="1" t="s">
        <v>56</v>
      </c>
      <c r="E23" s="1" t="s">
        <v>57</v>
      </c>
      <c r="F23" s="1" t="s">
        <v>54</v>
      </c>
      <c r="G23" s="3">
        <v>5452</v>
      </c>
      <c r="H23" s="1" t="s">
        <v>45</v>
      </c>
      <c r="I23" s="1">
        <v>23</v>
      </c>
    </row>
    <row r="24" spans="2:9" x14ac:dyDescent="0.3">
      <c r="B24" s="2">
        <v>1352</v>
      </c>
      <c r="C24" s="1" t="s">
        <v>63</v>
      </c>
      <c r="D24" s="1" t="s">
        <v>37</v>
      </c>
      <c r="E24" s="1" t="s">
        <v>38</v>
      </c>
      <c r="F24" s="1" t="s">
        <v>27</v>
      </c>
      <c r="G24" s="3">
        <v>2933</v>
      </c>
      <c r="H24" s="1" t="s">
        <v>47</v>
      </c>
      <c r="I24" s="1">
        <v>50</v>
      </c>
    </row>
    <row r="25" spans="2:9" x14ac:dyDescent="0.3">
      <c r="B25" s="2">
        <v>1355</v>
      </c>
      <c r="C25" s="1" t="s">
        <v>64</v>
      </c>
      <c r="D25" s="1" t="s">
        <v>9</v>
      </c>
      <c r="E25" s="1" t="s">
        <v>26</v>
      </c>
      <c r="F25" s="1" t="s">
        <v>65</v>
      </c>
      <c r="G25" s="3">
        <v>6222</v>
      </c>
      <c r="H25" s="1" t="s">
        <v>12</v>
      </c>
      <c r="I25" s="1">
        <v>45</v>
      </c>
    </row>
    <row r="26" spans="2:9" x14ac:dyDescent="0.3">
      <c r="B26" s="2">
        <v>1358</v>
      </c>
      <c r="E26" s="1" t="s">
        <v>26</v>
      </c>
      <c r="F26" s="1" t="s">
        <v>65</v>
      </c>
      <c r="G26" s="3">
        <v>5611</v>
      </c>
      <c r="H26" s="1" t="s">
        <v>17</v>
      </c>
      <c r="I26" s="1">
        <v>20</v>
      </c>
    </row>
    <row r="27" spans="2:9" x14ac:dyDescent="0.3">
      <c r="B27" s="2">
        <v>1361</v>
      </c>
      <c r="C27" s="1" t="s">
        <v>66</v>
      </c>
      <c r="D27" s="1" t="s">
        <v>9</v>
      </c>
      <c r="E27" s="1" t="s">
        <v>67</v>
      </c>
      <c r="F27" s="1" t="s">
        <v>27</v>
      </c>
      <c r="G27" s="3">
        <v>5396</v>
      </c>
      <c r="H27" s="1" t="s">
        <v>23</v>
      </c>
      <c r="I27" s="1">
        <v>50</v>
      </c>
    </row>
    <row r="28" spans="2:9" x14ac:dyDescent="0.3">
      <c r="B28" s="2">
        <v>1364</v>
      </c>
      <c r="C28" s="1" t="s">
        <v>68</v>
      </c>
      <c r="D28" s="1" t="s">
        <v>9</v>
      </c>
      <c r="E28" s="1" t="s">
        <v>67</v>
      </c>
      <c r="F28" s="1" t="s">
        <v>16</v>
      </c>
      <c r="G28" s="3">
        <v>3036</v>
      </c>
      <c r="H28" s="1" t="s">
        <v>28</v>
      </c>
      <c r="I28" s="1">
        <v>34</v>
      </c>
    </row>
  </sheetData>
  <conditionalFormatting sqref="C1:C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9F0F-C222-4B22-B88D-88EFFD7A2225}">
  <dimension ref="B2:S26"/>
  <sheetViews>
    <sheetView zoomScaleNormal="100" workbookViewId="0">
      <selection activeCell="F21" sqref="F21"/>
    </sheetView>
  </sheetViews>
  <sheetFormatPr defaultColWidth="12.21875" defaultRowHeight="15.6" x14ac:dyDescent="0.3"/>
  <cols>
    <col min="1" max="1" width="8.33203125" style="1" customWidth="1"/>
    <col min="2" max="2" width="5.44140625" style="1" bestFit="1" customWidth="1"/>
    <col min="3" max="3" width="19.21875" style="1" bestFit="1" customWidth="1"/>
    <col min="4" max="4" width="8.44140625" style="1" bestFit="1" customWidth="1"/>
    <col min="5" max="5" width="12.5546875" style="1" bestFit="1" customWidth="1"/>
    <col min="6" max="6" width="12.77734375" style="1" bestFit="1" customWidth="1"/>
    <col min="7" max="7" width="15.44140625" style="1" bestFit="1" customWidth="1"/>
    <col min="8" max="8" width="16.6640625" style="1" customWidth="1"/>
    <col min="9" max="9" width="7.5546875" style="1" bestFit="1" customWidth="1"/>
    <col min="10" max="10" width="9.109375" style="1" bestFit="1" customWidth="1"/>
    <col min="11" max="11" width="5.44140625" style="1" bestFit="1" customWidth="1"/>
    <col min="12" max="12" width="9.33203125" style="1" bestFit="1" customWidth="1"/>
    <col min="13" max="13" width="3.21875" style="1" bestFit="1" customWidth="1"/>
    <col min="14" max="14" width="15" style="1" bestFit="1" customWidth="1"/>
    <col min="15" max="15" width="7.6640625" style="1" bestFit="1" customWidth="1"/>
    <col min="16" max="16" width="15" style="1" bestFit="1" customWidth="1"/>
    <col min="17" max="18" width="12.109375" style="1" bestFit="1" customWidth="1"/>
    <col min="19" max="19" width="13.33203125" style="1" bestFit="1" customWidth="1"/>
    <col min="20" max="16384" width="12.21875" style="1"/>
  </cols>
  <sheetData>
    <row r="2" spans="2:19" x14ac:dyDescent="0.3">
      <c r="B2" s="1" t="s">
        <v>0</v>
      </c>
      <c r="C2" s="1" t="s">
        <v>1</v>
      </c>
      <c r="D2" s="1" t="s">
        <v>317</v>
      </c>
      <c r="E2" s="1" t="s">
        <v>318</v>
      </c>
      <c r="F2" s="1" t="s">
        <v>2</v>
      </c>
      <c r="G2" s="1" t="s">
        <v>3</v>
      </c>
      <c r="H2" s="1" t="s">
        <v>4</v>
      </c>
      <c r="I2" s="1" t="s">
        <v>372</v>
      </c>
      <c r="J2" s="1" t="s">
        <v>373</v>
      </c>
      <c r="K2" s="1" t="s">
        <v>5</v>
      </c>
      <c r="L2" s="1" t="s">
        <v>6</v>
      </c>
      <c r="M2" s="1" t="s">
        <v>7</v>
      </c>
      <c r="N2" s="10" t="s">
        <v>386</v>
      </c>
      <c r="O2" s="10" t="s">
        <v>387</v>
      </c>
      <c r="P2" s="10" t="s">
        <v>388</v>
      </c>
      <c r="Q2" s="10" t="s">
        <v>389</v>
      </c>
      <c r="R2" s="10" t="s">
        <v>390</v>
      </c>
      <c r="S2" s="10" t="s">
        <v>391</v>
      </c>
    </row>
    <row r="3" spans="2:19" x14ac:dyDescent="0.3">
      <c r="B3" s="2">
        <v>1295</v>
      </c>
      <c r="C3" s="1" t="s">
        <v>8</v>
      </c>
      <c r="D3" s="1" t="s">
        <v>319</v>
      </c>
      <c r="E3" s="1" t="s">
        <v>341</v>
      </c>
      <c r="F3" s="1" t="s">
        <v>9</v>
      </c>
      <c r="G3" s="10" t="s">
        <v>363</v>
      </c>
      <c r="H3" s="1" t="s">
        <v>392</v>
      </c>
      <c r="I3" s="1" t="s">
        <v>374</v>
      </c>
      <c r="J3" s="1" t="s">
        <v>380</v>
      </c>
      <c r="K3" s="3">
        <v>6870</v>
      </c>
      <c r="L3" s="11">
        <v>122.79</v>
      </c>
      <c r="M3" s="1">
        <v>51</v>
      </c>
      <c r="N3" s="12">
        <f>Table1[[#This Row],[Quantity]]*Table1[[#This Row],[Price]]</f>
        <v>843567.3</v>
      </c>
      <c r="O3" s="10">
        <f>Table1[[#This Row],[Cost per unit]]*Table1[[#This Row],[Quantity]]</f>
        <v>350370</v>
      </c>
      <c r="P3" s="12">
        <f>Table1[[#This Row],[Revenue]]-Table1[[#This Row],[Cost]]</f>
        <v>493197.30000000005</v>
      </c>
      <c r="Q3" s="12">
        <f>Table1[[#This Row],[Revenue]]*5%</f>
        <v>42178.365000000005</v>
      </c>
      <c r="R3" s="12">
        <f>Table1[[#This Row],[Revenue]]*7%</f>
        <v>59049.71100000001</v>
      </c>
      <c r="S3" s="12">
        <f>Table1[[#This Row],[Revenue]]*10%</f>
        <v>84356.73000000001</v>
      </c>
    </row>
    <row r="4" spans="2:19" x14ac:dyDescent="0.3">
      <c r="B4" s="2">
        <v>1298</v>
      </c>
      <c r="C4" s="1" t="s">
        <v>13</v>
      </c>
      <c r="D4" s="1" t="s">
        <v>320</v>
      </c>
      <c r="E4" s="1" t="s">
        <v>342</v>
      </c>
      <c r="F4" s="1" t="s">
        <v>14</v>
      </c>
      <c r="G4" s="10" t="s">
        <v>364</v>
      </c>
      <c r="H4" s="1" t="s">
        <v>16</v>
      </c>
      <c r="I4" s="1" t="s">
        <v>375</v>
      </c>
      <c r="J4" s="1" t="s">
        <v>381</v>
      </c>
      <c r="K4" s="3">
        <v>3125</v>
      </c>
      <c r="L4" s="11">
        <v>204.62</v>
      </c>
      <c r="M4" s="4">
        <v>43</v>
      </c>
      <c r="N4" s="12">
        <f>Table1[[#This Row],[Quantity]]*Table1[[#This Row],[Price]]</f>
        <v>639437.5</v>
      </c>
      <c r="O4" s="10">
        <f>Table1[[#This Row],[Cost per unit]]*Table1[[#This Row],[Quantity]]</f>
        <v>134375</v>
      </c>
      <c r="P4" s="12">
        <f>Table1[[#This Row],[Revenue]]-Table1[[#This Row],[Cost]]</f>
        <v>505062.5</v>
      </c>
      <c r="Q4" s="12">
        <f>Table1[[#This Row],[Revenue]]*5%</f>
        <v>31971.875</v>
      </c>
      <c r="R4" s="12">
        <f>Table1[[#This Row],[Revenue]]*7%</f>
        <v>44760.625000000007</v>
      </c>
      <c r="S4" s="12">
        <f>Table1[[#This Row],[Revenue]]*10%</f>
        <v>63943.75</v>
      </c>
    </row>
    <row r="5" spans="2:19" x14ac:dyDescent="0.3">
      <c r="B5" s="2">
        <v>1301</v>
      </c>
      <c r="C5" s="1" t="s">
        <v>19</v>
      </c>
      <c r="D5" s="1" t="s">
        <v>321</v>
      </c>
      <c r="E5" s="1" t="s">
        <v>343</v>
      </c>
      <c r="F5" s="1" t="s">
        <v>9</v>
      </c>
      <c r="G5" s="10" t="s">
        <v>365</v>
      </c>
      <c r="H5" s="1" t="s">
        <v>393</v>
      </c>
      <c r="I5" s="1" t="s">
        <v>376</v>
      </c>
      <c r="J5" s="1" t="s">
        <v>382</v>
      </c>
      <c r="K5" s="3">
        <v>5526</v>
      </c>
      <c r="L5" s="11">
        <v>122.76</v>
      </c>
      <c r="M5" s="1">
        <v>56</v>
      </c>
      <c r="N5" s="12">
        <f>Table1[[#This Row],[Quantity]]*Table1[[#This Row],[Price]]</f>
        <v>678371.76</v>
      </c>
      <c r="O5" s="10">
        <f>Table1[[#This Row],[Cost per unit]]*Table1[[#This Row],[Quantity]]</f>
        <v>309456</v>
      </c>
      <c r="P5" s="12">
        <f>Table1[[#This Row],[Revenue]]-Table1[[#This Row],[Cost]]</f>
        <v>368915.76</v>
      </c>
      <c r="Q5" s="12">
        <f>Table1[[#This Row],[Revenue]]*5%</f>
        <v>33918.588000000003</v>
      </c>
      <c r="R5" s="12">
        <f>Table1[[#This Row],[Revenue]]*7%</f>
        <v>47486.023200000003</v>
      </c>
      <c r="S5" s="12">
        <f>Table1[[#This Row],[Revenue]]*10%</f>
        <v>67837.176000000007</v>
      </c>
    </row>
    <row r="6" spans="2:19" x14ac:dyDescent="0.3">
      <c r="B6" s="2">
        <v>1304</v>
      </c>
      <c r="C6" s="1" t="s">
        <v>24</v>
      </c>
      <c r="D6" s="1" t="s">
        <v>322</v>
      </c>
      <c r="E6" s="1" t="s">
        <v>344</v>
      </c>
      <c r="F6" s="1" t="s">
        <v>9</v>
      </c>
      <c r="G6" s="10" t="s">
        <v>366</v>
      </c>
      <c r="H6" s="1" t="s">
        <v>394</v>
      </c>
      <c r="I6" s="1" t="s">
        <v>377</v>
      </c>
      <c r="J6" s="1" t="s">
        <v>383</v>
      </c>
      <c r="K6" s="3">
        <v>3706</v>
      </c>
      <c r="L6" s="11">
        <v>81.599999999999994</v>
      </c>
      <c r="M6" s="1">
        <v>25</v>
      </c>
      <c r="N6" s="12">
        <f>Table1[[#This Row],[Quantity]]*Table1[[#This Row],[Price]]</f>
        <v>302409.59999999998</v>
      </c>
      <c r="O6" s="10">
        <f>Table1[[#This Row],[Cost per unit]]*Table1[[#This Row],[Quantity]]</f>
        <v>92650</v>
      </c>
      <c r="P6" s="12">
        <f>Table1[[#This Row],[Revenue]]-Table1[[#This Row],[Cost]]</f>
        <v>209759.59999999998</v>
      </c>
      <c r="Q6" s="12">
        <f>Table1[[#This Row],[Revenue]]*5%</f>
        <v>15120.48</v>
      </c>
      <c r="R6" s="12">
        <f>Table1[[#This Row],[Revenue]]*7%</f>
        <v>21168.671999999999</v>
      </c>
      <c r="S6" s="12">
        <f>Table1[[#This Row],[Revenue]]*10%</f>
        <v>30240.959999999999</v>
      </c>
    </row>
    <row r="7" spans="2:19" x14ac:dyDescent="0.3">
      <c r="B7" s="2">
        <v>1307</v>
      </c>
      <c r="C7" s="1" t="s">
        <v>29</v>
      </c>
      <c r="D7" s="1" t="s">
        <v>323</v>
      </c>
      <c r="E7" s="1" t="s">
        <v>345</v>
      </c>
      <c r="F7" s="1" t="s">
        <v>316</v>
      </c>
      <c r="G7" s="10" t="s">
        <v>316</v>
      </c>
      <c r="H7" s="1" t="s">
        <v>394</v>
      </c>
      <c r="I7" s="1" t="s">
        <v>377</v>
      </c>
      <c r="J7" s="1" t="s">
        <v>383</v>
      </c>
      <c r="K7" s="3">
        <v>3459</v>
      </c>
      <c r="L7" s="11">
        <v>54.67</v>
      </c>
      <c r="M7" s="1">
        <v>27</v>
      </c>
      <c r="N7" s="12">
        <f>Table1[[#This Row],[Quantity]]*Table1[[#This Row],[Price]]</f>
        <v>189103.53</v>
      </c>
      <c r="O7" s="10">
        <f>Table1[[#This Row],[Cost per unit]]*Table1[[#This Row],[Quantity]]</f>
        <v>93393</v>
      </c>
      <c r="P7" s="12">
        <f>Table1[[#This Row],[Revenue]]-Table1[[#This Row],[Cost]]</f>
        <v>95710.53</v>
      </c>
      <c r="Q7" s="12">
        <f>Table1[[#This Row],[Revenue]]*5%</f>
        <v>9455.1764999999996</v>
      </c>
      <c r="R7" s="12">
        <f>Table1[[#This Row],[Revenue]]*7%</f>
        <v>13237.247100000001</v>
      </c>
      <c r="S7" s="12">
        <f>Table1[[#This Row],[Revenue]]*10%</f>
        <v>18910.352999999999</v>
      </c>
    </row>
    <row r="8" spans="2:19" x14ac:dyDescent="0.3">
      <c r="B8" s="2">
        <v>1310</v>
      </c>
      <c r="C8" s="1" t="s">
        <v>31</v>
      </c>
      <c r="D8" s="1" t="s">
        <v>324</v>
      </c>
      <c r="E8" s="1" t="s">
        <v>346</v>
      </c>
      <c r="F8" s="1" t="s">
        <v>32</v>
      </c>
      <c r="G8" s="10" t="s">
        <v>367</v>
      </c>
      <c r="H8" s="1" t="s">
        <v>392</v>
      </c>
      <c r="I8" s="1" t="s">
        <v>374</v>
      </c>
      <c r="J8" s="1" t="s">
        <v>380</v>
      </c>
      <c r="K8" s="3">
        <v>3210</v>
      </c>
      <c r="L8" s="11">
        <v>203.79</v>
      </c>
      <c r="M8" s="4">
        <v>56</v>
      </c>
      <c r="N8" s="12">
        <f>Table1[[#This Row],[Quantity]]*Table1[[#This Row],[Price]]</f>
        <v>654165.9</v>
      </c>
      <c r="O8" s="10">
        <f>Table1[[#This Row],[Cost per unit]]*Table1[[#This Row],[Quantity]]</f>
        <v>179760</v>
      </c>
      <c r="P8" s="12">
        <f>Table1[[#This Row],[Revenue]]-Table1[[#This Row],[Cost]]</f>
        <v>474405.9</v>
      </c>
      <c r="Q8" s="12">
        <f>Table1[[#This Row],[Revenue]]*5%</f>
        <v>32708.295000000002</v>
      </c>
      <c r="R8" s="12">
        <f>Table1[[#This Row],[Revenue]]*7%</f>
        <v>45791.613000000005</v>
      </c>
      <c r="S8" s="12">
        <f>Table1[[#This Row],[Revenue]]*10%</f>
        <v>65416.590000000004</v>
      </c>
    </row>
    <row r="9" spans="2:19" x14ac:dyDescent="0.3">
      <c r="B9" s="2">
        <v>1313</v>
      </c>
      <c r="C9" s="1" t="s">
        <v>36</v>
      </c>
      <c r="D9" s="1" t="s">
        <v>325</v>
      </c>
      <c r="E9" s="1" t="s">
        <v>347</v>
      </c>
      <c r="F9" s="1" t="s">
        <v>37</v>
      </c>
      <c r="G9" s="10" t="s">
        <v>38</v>
      </c>
      <c r="H9" s="1" t="s">
        <v>392</v>
      </c>
      <c r="I9" s="1" t="s">
        <v>374</v>
      </c>
      <c r="J9" s="1" t="s">
        <v>380</v>
      </c>
      <c r="K9" s="3">
        <v>2844</v>
      </c>
      <c r="L9" s="11">
        <v>122.77</v>
      </c>
      <c r="M9" s="1">
        <v>59</v>
      </c>
      <c r="N9" s="12">
        <f>Table1[[#This Row],[Quantity]]*Table1[[#This Row],[Price]]</f>
        <v>349157.88</v>
      </c>
      <c r="O9" s="10">
        <f>Table1[[#This Row],[Cost per unit]]*Table1[[#This Row],[Quantity]]</f>
        <v>167796</v>
      </c>
      <c r="P9" s="12">
        <f>Table1[[#This Row],[Revenue]]-Table1[[#This Row],[Cost]]</f>
        <v>181361.88</v>
      </c>
      <c r="Q9" s="12">
        <f>Table1[[#This Row],[Revenue]]*5%</f>
        <v>17457.894</v>
      </c>
      <c r="R9" s="12">
        <f>Table1[[#This Row],[Revenue]]*7%</f>
        <v>24441.051600000003</v>
      </c>
      <c r="S9" s="12">
        <f>Table1[[#This Row],[Revenue]]*10%</f>
        <v>34915.788</v>
      </c>
    </row>
    <row r="10" spans="2:19" x14ac:dyDescent="0.3">
      <c r="B10" s="2">
        <v>1316</v>
      </c>
      <c r="C10" s="1" t="s">
        <v>40</v>
      </c>
      <c r="D10" s="1" t="s">
        <v>326</v>
      </c>
      <c r="E10" s="1" t="s">
        <v>348</v>
      </c>
      <c r="F10" s="1" t="s">
        <v>37</v>
      </c>
      <c r="G10" s="10" t="s">
        <v>368</v>
      </c>
      <c r="H10" s="1" t="s">
        <v>395</v>
      </c>
      <c r="I10" s="1" t="s">
        <v>378</v>
      </c>
      <c r="J10" s="1" t="s">
        <v>384</v>
      </c>
      <c r="K10" s="3">
        <v>4613</v>
      </c>
      <c r="L10" s="11">
        <v>123.96</v>
      </c>
      <c r="M10" s="1">
        <v>30</v>
      </c>
      <c r="N10" s="12">
        <f>Table1[[#This Row],[Quantity]]*Table1[[#This Row],[Price]]</f>
        <v>571827.48</v>
      </c>
      <c r="O10" s="10">
        <f>Table1[[#This Row],[Cost per unit]]*Table1[[#This Row],[Quantity]]</f>
        <v>138390</v>
      </c>
      <c r="P10" s="12">
        <f>Table1[[#This Row],[Revenue]]-Table1[[#This Row],[Cost]]</f>
        <v>433437.48</v>
      </c>
      <c r="Q10" s="12">
        <f>Table1[[#This Row],[Revenue]]*5%</f>
        <v>28591.374</v>
      </c>
      <c r="R10" s="12">
        <f>Table1[[#This Row],[Revenue]]*7%</f>
        <v>40027.923600000002</v>
      </c>
      <c r="S10" s="12">
        <f>Table1[[#This Row],[Revenue]]*10%</f>
        <v>57182.748</v>
      </c>
    </row>
    <row r="11" spans="2:19" x14ac:dyDescent="0.3">
      <c r="B11" s="2">
        <v>1319</v>
      </c>
      <c r="C11" s="1" t="s">
        <v>44</v>
      </c>
      <c r="D11" s="1" t="s">
        <v>327</v>
      </c>
      <c r="E11" s="1" t="s">
        <v>349</v>
      </c>
      <c r="F11" s="1" t="s">
        <v>32</v>
      </c>
      <c r="G11" s="10" t="s">
        <v>367</v>
      </c>
      <c r="H11" s="1" t="s">
        <v>395</v>
      </c>
      <c r="I11" s="1" t="s">
        <v>378</v>
      </c>
      <c r="J11" s="1" t="s">
        <v>384</v>
      </c>
      <c r="K11" s="3">
        <v>3830</v>
      </c>
      <c r="L11" s="11">
        <v>206.97</v>
      </c>
      <c r="M11" s="1">
        <v>72</v>
      </c>
      <c r="N11" s="12">
        <f>Table1[[#This Row],[Quantity]]*Table1[[#This Row],[Price]]</f>
        <v>792695.1</v>
      </c>
      <c r="O11" s="10">
        <f>Table1[[#This Row],[Cost per unit]]*Table1[[#This Row],[Quantity]]</f>
        <v>275760</v>
      </c>
      <c r="P11" s="12">
        <f>Table1[[#This Row],[Revenue]]-Table1[[#This Row],[Cost]]</f>
        <v>516935.1</v>
      </c>
      <c r="Q11" s="12">
        <f>Table1[[#This Row],[Revenue]]*5%</f>
        <v>39634.755000000005</v>
      </c>
      <c r="R11" s="12">
        <f>Table1[[#This Row],[Revenue]]*7%</f>
        <v>55488.657000000007</v>
      </c>
      <c r="S11" s="12">
        <f>Table1[[#This Row],[Revenue]]*10%</f>
        <v>79269.510000000009</v>
      </c>
    </row>
    <row r="12" spans="2:19" x14ac:dyDescent="0.3">
      <c r="B12" s="2">
        <v>1322</v>
      </c>
      <c r="C12" s="1" t="s">
        <v>46</v>
      </c>
      <c r="D12" s="1" t="s">
        <v>328</v>
      </c>
      <c r="E12" s="1" t="s">
        <v>350</v>
      </c>
      <c r="F12" s="1" t="s">
        <v>32</v>
      </c>
      <c r="G12" s="10" t="s">
        <v>367</v>
      </c>
      <c r="H12" s="1" t="s">
        <v>16</v>
      </c>
      <c r="I12" s="1" t="s">
        <v>375</v>
      </c>
      <c r="J12" s="1" t="s">
        <v>381</v>
      </c>
      <c r="K12" s="3">
        <v>3594</v>
      </c>
      <c r="L12" s="11">
        <v>207.14</v>
      </c>
      <c r="M12" s="1">
        <v>68</v>
      </c>
      <c r="N12" s="12">
        <f>Table1[[#This Row],[Quantity]]*Table1[[#This Row],[Price]]</f>
        <v>744461.15999999992</v>
      </c>
      <c r="O12" s="10">
        <f>Table1[[#This Row],[Cost per unit]]*Table1[[#This Row],[Quantity]]</f>
        <v>244392</v>
      </c>
      <c r="P12" s="12">
        <f>Table1[[#This Row],[Revenue]]-Table1[[#This Row],[Cost]]</f>
        <v>500069.15999999992</v>
      </c>
      <c r="Q12" s="12">
        <f>Table1[[#This Row],[Revenue]]*5%</f>
        <v>37223.057999999997</v>
      </c>
      <c r="R12" s="12">
        <f>Table1[[#This Row],[Revenue]]*7%</f>
        <v>52112.281199999998</v>
      </c>
      <c r="S12" s="12">
        <f>Table1[[#This Row],[Revenue]]*10%</f>
        <v>74446.115999999995</v>
      </c>
    </row>
    <row r="13" spans="2:19" x14ac:dyDescent="0.3">
      <c r="B13" s="2">
        <v>1325</v>
      </c>
      <c r="C13" s="1" t="s">
        <v>48</v>
      </c>
      <c r="D13" s="1" t="s">
        <v>329</v>
      </c>
      <c r="E13" s="1" t="s">
        <v>351</v>
      </c>
      <c r="F13" s="1" t="s">
        <v>37</v>
      </c>
      <c r="G13" s="10" t="s">
        <v>369</v>
      </c>
      <c r="H13" s="1" t="s">
        <v>395</v>
      </c>
      <c r="I13" s="1" t="s">
        <v>378</v>
      </c>
      <c r="J13" s="1" t="s">
        <v>384</v>
      </c>
      <c r="K13" s="3">
        <v>6852</v>
      </c>
      <c r="L13" s="11">
        <v>122.79</v>
      </c>
      <c r="M13" s="1">
        <v>25</v>
      </c>
      <c r="N13" s="12">
        <f>Table1[[#This Row],[Quantity]]*Table1[[#This Row],[Price]]</f>
        <v>841357.08000000007</v>
      </c>
      <c r="O13" s="10">
        <f>Table1[[#This Row],[Cost per unit]]*Table1[[#This Row],[Quantity]]</f>
        <v>171300</v>
      </c>
      <c r="P13" s="12">
        <f>Table1[[#This Row],[Revenue]]-Table1[[#This Row],[Cost]]</f>
        <v>670057.08000000007</v>
      </c>
      <c r="Q13" s="12">
        <f>Table1[[#This Row],[Revenue]]*5%</f>
        <v>42067.854000000007</v>
      </c>
      <c r="R13" s="12">
        <f>Table1[[#This Row],[Revenue]]*7%</f>
        <v>58894.995600000009</v>
      </c>
      <c r="S13" s="12">
        <f>Table1[[#This Row],[Revenue]]*10%</f>
        <v>84135.708000000013</v>
      </c>
    </row>
    <row r="14" spans="2:19" x14ac:dyDescent="0.3">
      <c r="B14" s="2">
        <v>1328</v>
      </c>
      <c r="C14" s="1" t="s">
        <v>316</v>
      </c>
      <c r="D14" s="1" t="s">
        <v>316</v>
      </c>
      <c r="E14" s="1" t="s">
        <v>316</v>
      </c>
      <c r="F14" s="1" t="s">
        <v>37</v>
      </c>
      <c r="G14" s="10" t="s">
        <v>369</v>
      </c>
      <c r="H14" s="1" t="s">
        <v>395</v>
      </c>
      <c r="I14" s="1" t="s">
        <v>378</v>
      </c>
      <c r="J14" s="1" t="s">
        <v>384</v>
      </c>
      <c r="K14" s="3">
        <v>3775</v>
      </c>
      <c r="L14" s="11">
        <v>204.62</v>
      </c>
      <c r="M14" s="4">
        <v>37</v>
      </c>
      <c r="N14" s="12">
        <f>Table1[[#This Row],[Quantity]]*Table1[[#This Row],[Price]]</f>
        <v>772440.5</v>
      </c>
      <c r="O14" s="10">
        <f>Table1[[#This Row],[Cost per unit]]*Table1[[#This Row],[Quantity]]</f>
        <v>139675</v>
      </c>
      <c r="P14" s="12">
        <f>Table1[[#This Row],[Revenue]]-Table1[[#This Row],[Cost]]</f>
        <v>632765.5</v>
      </c>
      <c r="Q14" s="12">
        <f>Table1[[#This Row],[Revenue]]*5%</f>
        <v>38622.025000000001</v>
      </c>
      <c r="R14" s="12">
        <f>Table1[[#This Row],[Revenue]]*7%</f>
        <v>54070.835000000006</v>
      </c>
      <c r="S14" s="12">
        <f>Table1[[#This Row],[Revenue]]*10%</f>
        <v>77244.05</v>
      </c>
    </row>
    <row r="15" spans="2:19" x14ac:dyDescent="0.3">
      <c r="B15" s="2">
        <v>1331</v>
      </c>
      <c r="C15" s="1" t="s">
        <v>51</v>
      </c>
      <c r="D15" s="1" t="s">
        <v>330</v>
      </c>
      <c r="E15" s="1" t="s">
        <v>352</v>
      </c>
      <c r="F15" s="1" t="s">
        <v>32</v>
      </c>
      <c r="G15" s="10" t="s">
        <v>367</v>
      </c>
      <c r="H15" s="1" t="s">
        <v>395</v>
      </c>
      <c r="I15" s="1" t="s">
        <v>378</v>
      </c>
      <c r="J15" s="1" t="s">
        <v>384</v>
      </c>
      <c r="K15" s="3">
        <v>6422</v>
      </c>
      <c r="L15" s="11">
        <v>122.76</v>
      </c>
      <c r="M15" s="1">
        <v>26</v>
      </c>
      <c r="N15" s="12">
        <f>Table1[[#This Row],[Quantity]]*Table1[[#This Row],[Price]]</f>
        <v>788364.72000000009</v>
      </c>
      <c r="O15" s="10">
        <f>Table1[[#This Row],[Cost per unit]]*Table1[[#This Row],[Quantity]]</f>
        <v>166972</v>
      </c>
      <c r="P15" s="12">
        <f>Table1[[#This Row],[Revenue]]-Table1[[#This Row],[Cost]]</f>
        <v>621392.72000000009</v>
      </c>
      <c r="Q15" s="12">
        <f>Table1[[#This Row],[Revenue]]*5%</f>
        <v>39418.236000000004</v>
      </c>
      <c r="R15" s="12">
        <f>Table1[[#This Row],[Revenue]]*7%</f>
        <v>55185.530400000011</v>
      </c>
      <c r="S15" s="12">
        <f>Table1[[#This Row],[Revenue]]*10%</f>
        <v>78836.472000000009</v>
      </c>
    </row>
    <row r="16" spans="2:19" x14ac:dyDescent="0.3">
      <c r="B16" s="2">
        <v>1334</v>
      </c>
      <c r="C16" s="1" t="s">
        <v>52</v>
      </c>
      <c r="D16" s="1" t="s">
        <v>331</v>
      </c>
      <c r="E16" s="1" t="s">
        <v>353</v>
      </c>
      <c r="F16" s="1" t="s">
        <v>37</v>
      </c>
      <c r="G16" s="10" t="s">
        <v>368</v>
      </c>
      <c r="H16" s="1" t="s">
        <v>16</v>
      </c>
      <c r="I16" s="1" t="s">
        <v>375</v>
      </c>
      <c r="J16" s="1" t="s">
        <v>381</v>
      </c>
      <c r="K16" s="3">
        <v>2187</v>
      </c>
      <c r="L16" s="11">
        <v>81.599999999999994</v>
      </c>
      <c r="M16" s="1">
        <v>34</v>
      </c>
      <c r="N16" s="12">
        <f>Table1[[#This Row],[Quantity]]*Table1[[#This Row],[Price]]</f>
        <v>178459.19999999998</v>
      </c>
      <c r="O16" s="10">
        <f>Table1[[#This Row],[Cost per unit]]*Table1[[#This Row],[Quantity]]</f>
        <v>74358</v>
      </c>
      <c r="P16" s="12">
        <f>Table1[[#This Row],[Revenue]]-Table1[[#This Row],[Cost]]</f>
        <v>104101.19999999998</v>
      </c>
      <c r="Q16" s="12">
        <f>Table1[[#This Row],[Revenue]]*5%</f>
        <v>8922.9599999999991</v>
      </c>
      <c r="R16" s="12">
        <f>Table1[[#This Row],[Revenue]]*7%</f>
        <v>12492.144</v>
      </c>
      <c r="S16" s="12">
        <f>Table1[[#This Row],[Revenue]]*10%</f>
        <v>17845.919999999998</v>
      </c>
    </row>
    <row r="17" spans="2:19" x14ac:dyDescent="0.3">
      <c r="B17" s="2">
        <v>1337</v>
      </c>
      <c r="C17" s="1" t="s">
        <v>53</v>
      </c>
      <c r="D17" s="1" t="s">
        <v>332</v>
      </c>
      <c r="E17" s="1" t="s">
        <v>354</v>
      </c>
      <c r="F17" s="1" t="s">
        <v>37</v>
      </c>
      <c r="G17" s="10" t="s">
        <v>368</v>
      </c>
      <c r="H17" s="1" t="s">
        <v>396</v>
      </c>
      <c r="I17" s="1" t="s">
        <v>379</v>
      </c>
      <c r="J17" s="1" t="s">
        <v>385</v>
      </c>
      <c r="K17" s="3">
        <v>2156</v>
      </c>
      <c r="L17" s="11">
        <v>54.67</v>
      </c>
      <c r="M17" s="1">
        <v>26</v>
      </c>
      <c r="N17" s="12">
        <f>Table1[[#This Row],[Quantity]]*Table1[[#This Row],[Price]]</f>
        <v>117868.52</v>
      </c>
      <c r="O17" s="10">
        <f>Table1[[#This Row],[Cost per unit]]*Table1[[#This Row],[Quantity]]</f>
        <v>56056</v>
      </c>
      <c r="P17" s="12">
        <f>Table1[[#This Row],[Revenue]]-Table1[[#This Row],[Cost]]</f>
        <v>61812.520000000004</v>
      </c>
      <c r="Q17" s="12">
        <f>Table1[[#This Row],[Revenue]]*5%</f>
        <v>5893.4260000000004</v>
      </c>
      <c r="R17" s="12">
        <f>Table1[[#This Row],[Revenue]]*7%</f>
        <v>8250.7964000000011</v>
      </c>
      <c r="S17" s="12">
        <f>Table1[[#This Row],[Revenue]]*10%</f>
        <v>11786.852000000001</v>
      </c>
    </row>
    <row r="18" spans="2:19" x14ac:dyDescent="0.3">
      <c r="B18" s="2">
        <v>1340</v>
      </c>
      <c r="C18" s="1" t="s">
        <v>55</v>
      </c>
      <c r="D18" s="1" t="s">
        <v>333</v>
      </c>
      <c r="E18" s="1" t="s">
        <v>355</v>
      </c>
      <c r="F18" s="1" t="s">
        <v>56</v>
      </c>
      <c r="G18" s="10" t="s">
        <v>370</v>
      </c>
      <c r="H18" s="1" t="s">
        <v>396</v>
      </c>
      <c r="I18" s="1" t="s">
        <v>379</v>
      </c>
      <c r="J18" s="1" t="s">
        <v>385</v>
      </c>
      <c r="K18" s="3">
        <v>2492</v>
      </c>
      <c r="L18" s="11">
        <v>203.79</v>
      </c>
      <c r="M18" s="4">
        <v>50</v>
      </c>
      <c r="N18" s="12">
        <f>Table1[[#This Row],[Quantity]]*Table1[[#This Row],[Price]]</f>
        <v>507844.68</v>
      </c>
      <c r="O18" s="10">
        <f>Table1[[#This Row],[Cost per unit]]*Table1[[#This Row],[Quantity]]</f>
        <v>124600</v>
      </c>
      <c r="P18" s="12">
        <f>Table1[[#This Row],[Revenue]]-Table1[[#This Row],[Cost]]</f>
        <v>383244.68</v>
      </c>
      <c r="Q18" s="12">
        <f>Table1[[#This Row],[Revenue]]*5%</f>
        <v>25392.234</v>
      </c>
      <c r="R18" s="12">
        <f>Table1[[#This Row],[Revenue]]*7%</f>
        <v>35549.1276</v>
      </c>
      <c r="S18" s="12">
        <f>Table1[[#This Row],[Revenue]]*10%</f>
        <v>50784.468000000001</v>
      </c>
    </row>
    <row r="19" spans="2:19" x14ac:dyDescent="0.3">
      <c r="B19" s="2">
        <v>1343</v>
      </c>
      <c r="C19" s="1" t="s">
        <v>59</v>
      </c>
      <c r="D19" s="1" t="s">
        <v>334</v>
      </c>
      <c r="E19" s="1" t="s">
        <v>356</v>
      </c>
      <c r="F19" s="1" t="s">
        <v>316</v>
      </c>
      <c r="G19" s="10" t="s">
        <v>371</v>
      </c>
      <c r="H19" s="1" t="s">
        <v>396</v>
      </c>
      <c r="I19" s="1" t="s">
        <v>379</v>
      </c>
      <c r="J19" s="1" t="s">
        <v>385</v>
      </c>
      <c r="K19" s="3">
        <v>6829</v>
      </c>
      <c r="L19" s="11">
        <v>122.77</v>
      </c>
      <c r="M19" s="1">
        <v>30</v>
      </c>
      <c r="N19" s="12">
        <f>Table1[[#This Row],[Quantity]]*Table1[[#This Row],[Price]]</f>
        <v>838396.33</v>
      </c>
      <c r="O19" s="10">
        <f>Table1[[#This Row],[Cost per unit]]*Table1[[#This Row],[Quantity]]</f>
        <v>204870</v>
      </c>
      <c r="P19" s="12">
        <f>Table1[[#This Row],[Revenue]]-Table1[[#This Row],[Cost]]</f>
        <v>633526.32999999996</v>
      </c>
      <c r="Q19" s="12">
        <f>Table1[[#This Row],[Revenue]]*5%</f>
        <v>41919.816500000001</v>
      </c>
      <c r="R19" s="12">
        <f>Table1[[#This Row],[Revenue]]*7%</f>
        <v>58687.7431</v>
      </c>
      <c r="S19" s="12">
        <f>Table1[[#This Row],[Revenue]]*10%</f>
        <v>83839.633000000002</v>
      </c>
    </row>
    <row r="20" spans="2:19" x14ac:dyDescent="0.3">
      <c r="B20" s="2">
        <v>1346</v>
      </c>
      <c r="C20" s="1" t="s">
        <v>61</v>
      </c>
      <c r="D20" s="1" t="s">
        <v>335</v>
      </c>
      <c r="E20" s="1" t="s">
        <v>357</v>
      </c>
      <c r="F20" s="1" t="s">
        <v>56</v>
      </c>
      <c r="G20" s="10" t="s">
        <v>370</v>
      </c>
      <c r="H20" s="1" t="s">
        <v>396</v>
      </c>
      <c r="I20" s="1" t="s">
        <v>379</v>
      </c>
      <c r="J20" s="1" t="s">
        <v>385</v>
      </c>
      <c r="K20" s="3">
        <v>4143</v>
      </c>
      <c r="L20" s="11">
        <v>123.96</v>
      </c>
      <c r="M20" s="1">
        <v>47</v>
      </c>
      <c r="N20" s="12">
        <f>Table1[[#This Row],[Quantity]]*Table1[[#This Row],[Price]]</f>
        <v>513566.27999999997</v>
      </c>
      <c r="O20" s="10">
        <f>Table1[[#This Row],[Cost per unit]]*Table1[[#This Row],[Quantity]]</f>
        <v>194721</v>
      </c>
      <c r="P20" s="12">
        <f>Table1[[#This Row],[Revenue]]-Table1[[#This Row],[Cost]]</f>
        <v>318845.27999999997</v>
      </c>
      <c r="Q20" s="12">
        <f>Table1[[#This Row],[Revenue]]*5%</f>
        <v>25678.313999999998</v>
      </c>
      <c r="R20" s="12">
        <f>Table1[[#This Row],[Revenue]]*7%</f>
        <v>35949.639600000002</v>
      </c>
      <c r="S20" s="12">
        <f>Table1[[#This Row],[Revenue]]*10%</f>
        <v>51356.627999999997</v>
      </c>
    </row>
    <row r="21" spans="2:19" x14ac:dyDescent="0.3">
      <c r="B21" s="2">
        <v>1349</v>
      </c>
      <c r="C21" s="1" t="s">
        <v>62</v>
      </c>
      <c r="D21" s="1" t="s">
        <v>336</v>
      </c>
      <c r="E21" s="1" t="s">
        <v>358</v>
      </c>
      <c r="F21" s="1" t="s">
        <v>56</v>
      </c>
      <c r="G21" s="10" t="s">
        <v>370</v>
      </c>
      <c r="H21" s="1" t="s">
        <v>396</v>
      </c>
      <c r="I21" s="1" t="s">
        <v>379</v>
      </c>
      <c r="J21" s="1" t="s">
        <v>385</v>
      </c>
      <c r="K21" s="3">
        <v>5452</v>
      </c>
      <c r="L21" s="11">
        <v>206.97</v>
      </c>
      <c r="M21" s="1">
        <v>23</v>
      </c>
      <c r="N21" s="12">
        <f>Table1[[#This Row],[Quantity]]*Table1[[#This Row],[Price]]</f>
        <v>1128400.44</v>
      </c>
      <c r="O21" s="10">
        <f>Table1[[#This Row],[Cost per unit]]*Table1[[#This Row],[Quantity]]</f>
        <v>125396</v>
      </c>
      <c r="P21" s="12">
        <f>Table1[[#This Row],[Revenue]]-Table1[[#This Row],[Cost]]</f>
        <v>1003004.44</v>
      </c>
      <c r="Q21" s="12">
        <f>Table1[[#This Row],[Revenue]]*5%</f>
        <v>56420.021999999997</v>
      </c>
      <c r="R21" s="12">
        <f>Table1[[#This Row],[Revenue]]*7%</f>
        <v>78988.030800000008</v>
      </c>
      <c r="S21" s="12">
        <f>Table1[[#This Row],[Revenue]]*10%</f>
        <v>112840.04399999999</v>
      </c>
    </row>
    <row r="22" spans="2:19" x14ac:dyDescent="0.3">
      <c r="B22" s="2">
        <v>1352</v>
      </c>
      <c r="C22" s="1" t="s">
        <v>63</v>
      </c>
      <c r="D22" s="1" t="s">
        <v>337</v>
      </c>
      <c r="E22" s="1" t="s">
        <v>359</v>
      </c>
      <c r="F22" s="1" t="s">
        <v>37</v>
      </c>
      <c r="G22" s="10" t="s">
        <v>38</v>
      </c>
      <c r="H22" s="1" t="s">
        <v>394</v>
      </c>
      <c r="I22" s="1" t="s">
        <v>377</v>
      </c>
      <c r="J22" s="1" t="s">
        <v>383</v>
      </c>
      <c r="K22" s="3">
        <v>2933</v>
      </c>
      <c r="L22" s="11">
        <v>207.14</v>
      </c>
      <c r="M22" s="1">
        <v>50</v>
      </c>
      <c r="N22" s="12">
        <f>Table1[[#This Row],[Quantity]]*Table1[[#This Row],[Price]]</f>
        <v>607541.62</v>
      </c>
      <c r="O22" s="10">
        <f>Table1[[#This Row],[Cost per unit]]*Table1[[#This Row],[Quantity]]</f>
        <v>146650</v>
      </c>
      <c r="P22" s="12">
        <f>Table1[[#This Row],[Revenue]]-Table1[[#This Row],[Cost]]</f>
        <v>460891.62</v>
      </c>
      <c r="Q22" s="12">
        <f>Table1[[#This Row],[Revenue]]*5%</f>
        <v>30377.081000000002</v>
      </c>
      <c r="R22" s="12">
        <f>Table1[[#This Row],[Revenue]]*7%</f>
        <v>42527.913400000005</v>
      </c>
      <c r="S22" s="12">
        <f>Table1[[#This Row],[Revenue]]*10%</f>
        <v>60754.162000000004</v>
      </c>
    </row>
    <row r="23" spans="2:19" x14ac:dyDescent="0.3">
      <c r="B23" s="2">
        <v>1355</v>
      </c>
      <c r="C23" s="1" t="s">
        <v>64</v>
      </c>
      <c r="D23" s="1" t="s">
        <v>338</v>
      </c>
      <c r="E23" s="1" t="s">
        <v>360</v>
      </c>
      <c r="F23" s="1" t="s">
        <v>9</v>
      </c>
      <c r="G23" s="10" t="s">
        <v>366</v>
      </c>
      <c r="H23" s="1" t="s">
        <v>65</v>
      </c>
      <c r="I23" s="1" t="s">
        <v>374</v>
      </c>
      <c r="J23" s="1" t="s">
        <v>380</v>
      </c>
      <c r="K23" s="3">
        <v>6222</v>
      </c>
      <c r="L23" s="11">
        <v>122.79</v>
      </c>
      <c r="M23" s="1">
        <v>45</v>
      </c>
      <c r="N23" s="12">
        <f>Table1[[#This Row],[Quantity]]*Table1[[#This Row],[Price]]</f>
        <v>763999.38</v>
      </c>
      <c r="O23" s="10">
        <f>Table1[[#This Row],[Cost per unit]]*Table1[[#This Row],[Quantity]]</f>
        <v>279990</v>
      </c>
      <c r="P23" s="12">
        <f>Table1[[#This Row],[Revenue]]-Table1[[#This Row],[Cost]]</f>
        <v>484009.38</v>
      </c>
      <c r="Q23" s="12">
        <f>Table1[[#This Row],[Revenue]]*5%</f>
        <v>38199.969000000005</v>
      </c>
      <c r="R23" s="12">
        <f>Table1[[#This Row],[Revenue]]*7%</f>
        <v>53479.956600000005</v>
      </c>
      <c r="S23" s="12">
        <f>Table1[[#This Row],[Revenue]]*10%</f>
        <v>76399.938000000009</v>
      </c>
    </row>
    <row r="24" spans="2:19" x14ac:dyDescent="0.3">
      <c r="B24" s="2">
        <v>1358</v>
      </c>
      <c r="C24" s="1" t="s">
        <v>316</v>
      </c>
      <c r="D24" s="1" t="s">
        <v>316</v>
      </c>
      <c r="E24" s="1" t="s">
        <v>316</v>
      </c>
      <c r="F24" s="1" t="s">
        <v>316</v>
      </c>
      <c r="G24" s="10" t="s">
        <v>366</v>
      </c>
      <c r="H24" s="1" t="s">
        <v>65</v>
      </c>
      <c r="I24" s="1" t="s">
        <v>374</v>
      </c>
      <c r="J24" s="1" t="s">
        <v>380</v>
      </c>
      <c r="K24" s="3">
        <v>5611</v>
      </c>
      <c r="L24" s="11">
        <v>204.62</v>
      </c>
      <c r="M24" s="1">
        <v>20</v>
      </c>
      <c r="N24" s="12">
        <f>Table1[[#This Row],[Quantity]]*Table1[[#This Row],[Price]]</f>
        <v>1148122.82</v>
      </c>
      <c r="O24" s="10">
        <f>Table1[[#This Row],[Cost per unit]]*Table1[[#This Row],[Quantity]]</f>
        <v>112220</v>
      </c>
      <c r="P24" s="12">
        <f>Table1[[#This Row],[Revenue]]-Table1[[#This Row],[Cost]]</f>
        <v>1035902.8200000001</v>
      </c>
      <c r="Q24" s="12">
        <f>Table1[[#This Row],[Revenue]]*5%</f>
        <v>57406.141000000003</v>
      </c>
      <c r="R24" s="12">
        <f>Table1[[#This Row],[Revenue]]*7%</f>
        <v>80368.597400000013</v>
      </c>
      <c r="S24" s="12">
        <f>Table1[[#This Row],[Revenue]]*10%</f>
        <v>114812.28200000001</v>
      </c>
    </row>
    <row r="25" spans="2:19" x14ac:dyDescent="0.3">
      <c r="B25" s="2">
        <v>1361</v>
      </c>
      <c r="C25" s="1" t="s">
        <v>66</v>
      </c>
      <c r="D25" s="1" t="s">
        <v>339</v>
      </c>
      <c r="E25" s="1" t="s">
        <v>361</v>
      </c>
      <c r="F25" s="1" t="s">
        <v>9</v>
      </c>
      <c r="G25" s="10" t="s">
        <v>67</v>
      </c>
      <c r="H25" s="1" t="s">
        <v>394</v>
      </c>
      <c r="I25" s="1" t="s">
        <v>377</v>
      </c>
      <c r="J25" s="1" t="s">
        <v>383</v>
      </c>
      <c r="K25" s="3">
        <v>5396</v>
      </c>
      <c r="L25" s="11">
        <v>122.76</v>
      </c>
      <c r="M25" s="1">
        <v>50</v>
      </c>
      <c r="N25" s="12">
        <f>Table1[[#This Row],[Quantity]]*Table1[[#This Row],[Price]]</f>
        <v>662412.96000000008</v>
      </c>
      <c r="O25" s="10">
        <f>Table1[[#This Row],[Cost per unit]]*Table1[[#This Row],[Quantity]]</f>
        <v>269800</v>
      </c>
      <c r="P25" s="12">
        <f>Table1[[#This Row],[Revenue]]-Table1[[#This Row],[Cost]]</f>
        <v>392612.96000000008</v>
      </c>
      <c r="Q25" s="12">
        <f>Table1[[#This Row],[Revenue]]*5%</f>
        <v>33120.648000000008</v>
      </c>
      <c r="R25" s="12">
        <f>Table1[[#This Row],[Revenue]]*7%</f>
        <v>46368.907200000009</v>
      </c>
      <c r="S25" s="12">
        <f>Table1[[#This Row],[Revenue]]*10%</f>
        <v>66241.296000000017</v>
      </c>
    </row>
    <row r="26" spans="2:19" x14ac:dyDescent="0.3">
      <c r="B26" s="2">
        <v>1364</v>
      </c>
      <c r="C26" s="1" t="s">
        <v>68</v>
      </c>
      <c r="D26" s="1" t="s">
        <v>340</v>
      </c>
      <c r="E26" s="1" t="s">
        <v>362</v>
      </c>
      <c r="F26" s="1" t="s">
        <v>9</v>
      </c>
      <c r="G26" s="10" t="s">
        <v>67</v>
      </c>
      <c r="H26" s="1" t="s">
        <v>16</v>
      </c>
      <c r="I26" s="1" t="s">
        <v>375</v>
      </c>
      <c r="J26" s="1" t="s">
        <v>381</v>
      </c>
      <c r="K26" s="3">
        <v>3036</v>
      </c>
      <c r="L26" s="11">
        <v>81.599999999999994</v>
      </c>
      <c r="M26" s="1">
        <v>34</v>
      </c>
      <c r="N26" s="12">
        <f>Table1[[#This Row],[Quantity]]*Table1[[#This Row],[Price]]</f>
        <v>247737.59999999998</v>
      </c>
      <c r="O26" s="10">
        <f>Table1[[#This Row],[Cost per unit]]*Table1[[#This Row],[Quantity]]</f>
        <v>103224</v>
      </c>
      <c r="P26" s="12">
        <f>Table1[[#This Row],[Revenue]]-Table1[[#This Row],[Cost]]</f>
        <v>144513.59999999998</v>
      </c>
      <c r="Q26" s="12">
        <f>Table1[[#This Row],[Revenue]]*5%</f>
        <v>12386.88</v>
      </c>
      <c r="R26" s="12">
        <f>Table1[[#This Row],[Revenue]]*7%</f>
        <v>17341.632000000001</v>
      </c>
      <c r="S26" s="12">
        <f>Table1[[#This Row],[Revenue]]*10%</f>
        <v>24773.759999999998</v>
      </c>
    </row>
  </sheetData>
  <conditionalFormatting sqref="C1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68C-EE36-4F10-92BF-E474CFDC9310}">
  <dimension ref="B2:H118"/>
  <sheetViews>
    <sheetView zoomScaleNormal="100" workbookViewId="0">
      <selection activeCell="G8" sqref="G8"/>
    </sheetView>
  </sheetViews>
  <sheetFormatPr defaultRowHeight="14.4" x14ac:dyDescent="0.3"/>
  <cols>
    <col min="1" max="1" width="8.88671875" style="5"/>
    <col min="2" max="2" width="24.5546875" style="5" bestFit="1" customWidth="1"/>
    <col min="3" max="3" width="18.77734375" style="5" bestFit="1" customWidth="1"/>
    <col min="4" max="4" width="25.88671875" style="5" customWidth="1"/>
    <col min="5" max="7" width="18.6640625" style="5" customWidth="1"/>
    <col min="8" max="8" width="15.21875" style="5" customWidth="1"/>
    <col min="9" max="16384" width="8.88671875" style="5"/>
  </cols>
  <sheetData>
    <row r="2" spans="2:8" x14ac:dyDescent="0.3"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5" t="s">
        <v>75</v>
      </c>
    </row>
    <row r="3" spans="2:8" x14ac:dyDescent="0.3">
      <c r="B3" s="5" t="s">
        <v>76</v>
      </c>
      <c r="C3" s="6" t="s">
        <v>77</v>
      </c>
      <c r="D3" s="5" t="s">
        <v>78</v>
      </c>
      <c r="E3" s="7" t="s">
        <v>79</v>
      </c>
      <c r="H3" s="8" t="s">
        <v>80</v>
      </c>
    </row>
    <row r="4" spans="2:8" x14ac:dyDescent="0.3">
      <c r="B4" s="5" t="s">
        <v>81</v>
      </c>
      <c r="C4" s="5" t="s">
        <v>82</v>
      </c>
      <c r="D4" s="5" t="s">
        <v>83</v>
      </c>
      <c r="E4" s="5">
        <v>55</v>
      </c>
      <c r="H4" s="8"/>
    </row>
    <row r="5" spans="2:8" x14ac:dyDescent="0.3">
      <c r="B5" s="5" t="s">
        <v>84</v>
      </c>
      <c r="C5" s="5" t="s">
        <v>85</v>
      </c>
      <c r="D5" s="5" t="s">
        <v>86</v>
      </c>
      <c r="E5" s="7" t="s">
        <v>87</v>
      </c>
      <c r="H5" s="8">
        <v>158405173</v>
      </c>
    </row>
    <row r="6" spans="2:8" x14ac:dyDescent="0.3">
      <c r="B6" s="5" t="s">
        <v>88</v>
      </c>
      <c r="C6" s="5" t="s">
        <v>89</v>
      </c>
      <c r="D6" s="5" t="s">
        <v>90</v>
      </c>
      <c r="E6" s="5">
        <v>44</v>
      </c>
      <c r="H6" s="8"/>
    </row>
    <row r="7" spans="2:8" x14ac:dyDescent="0.3">
      <c r="B7" s="5" t="s">
        <v>88</v>
      </c>
      <c r="C7" s="5" t="s">
        <v>91</v>
      </c>
      <c r="D7" s="5" t="s">
        <v>90</v>
      </c>
      <c r="E7" s="7" t="s">
        <v>92</v>
      </c>
      <c r="H7" s="8"/>
    </row>
    <row r="8" spans="2:8" ht="37.200000000000003" customHeight="1" x14ac:dyDescent="0.3">
      <c r="B8" s="5" t="s">
        <v>93</v>
      </c>
      <c r="C8" s="5" t="str">
        <f>TRIM(C13)</f>
        <v>African American</v>
      </c>
      <c r="D8" s="5" t="s">
        <v>94</v>
      </c>
      <c r="E8" s="5" t="s">
        <v>95</v>
      </c>
      <c r="H8" s="8">
        <v>193319956</v>
      </c>
    </row>
    <row r="9" spans="2:8" x14ac:dyDescent="0.3">
      <c r="B9" s="5" t="s">
        <v>96</v>
      </c>
      <c r="C9" s="5" t="s">
        <v>97</v>
      </c>
      <c r="D9" s="5" t="s">
        <v>98</v>
      </c>
      <c r="E9" s="5">
        <v>55</v>
      </c>
      <c r="H9" s="8" t="s">
        <v>99</v>
      </c>
    </row>
    <row r="10" spans="2:8" x14ac:dyDescent="0.3">
      <c r="B10" s="5" t="s">
        <v>100</v>
      </c>
      <c r="C10" s="5" t="s">
        <v>85</v>
      </c>
      <c r="D10" s="5" t="s">
        <v>101</v>
      </c>
      <c r="E10" s="5">
        <v>51</v>
      </c>
      <c r="H10" s="8" t="s">
        <v>102</v>
      </c>
    </row>
    <row r="11" spans="2:8" x14ac:dyDescent="0.3">
      <c r="B11" s="5" t="s">
        <v>103</v>
      </c>
      <c r="C11" s="5" t="s">
        <v>97</v>
      </c>
      <c r="D11" s="5" t="s">
        <v>104</v>
      </c>
      <c r="E11" s="5" t="s">
        <v>105</v>
      </c>
      <c r="H11" s="8" t="s">
        <v>106</v>
      </c>
    </row>
    <row r="12" spans="2:8" ht="41.25" customHeight="1" x14ac:dyDescent="0.3">
      <c r="B12" s="5" t="s">
        <v>107</v>
      </c>
      <c r="C12" s="5" t="s">
        <v>85</v>
      </c>
      <c r="D12" s="5" t="s">
        <v>108</v>
      </c>
      <c r="E12" s="5">
        <v>55</v>
      </c>
      <c r="H12" s="8">
        <v>162316306</v>
      </c>
    </row>
    <row r="13" spans="2:8" x14ac:dyDescent="0.3">
      <c r="B13" s="5" t="s">
        <v>103</v>
      </c>
      <c r="C13" s="5" t="s">
        <v>85</v>
      </c>
      <c r="D13" s="5" t="s">
        <v>104</v>
      </c>
      <c r="E13" s="5">
        <v>55</v>
      </c>
      <c r="H13" s="8" t="s">
        <v>109</v>
      </c>
    </row>
    <row r="14" spans="2:8" x14ac:dyDescent="0.3">
      <c r="B14" s="5" t="s">
        <v>110</v>
      </c>
      <c r="C14" s="5" t="s">
        <v>82</v>
      </c>
      <c r="D14" s="5" t="s">
        <v>111</v>
      </c>
      <c r="E14" s="5">
        <v>44</v>
      </c>
      <c r="H14" s="8">
        <v>230867743</v>
      </c>
    </row>
    <row r="15" spans="2:8" x14ac:dyDescent="0.3">
      <c r="B15" s="5" t="s">
        <v>112</v>
      </c>
      <c r="C15" s="5" t="s">
        <v>85</v>
      </c>
      <c r="D15" s="5" t="s">
        <v>113</v>
      </c>
      <c r="E15" s="7" t="s">
        <v>92</v>
      </c>
      <c r="H15" s="8"/>
    </row>
    <row r="16" spans="2:8" x14ac:dyDescent="0.3">
      <c r="B16" s="5" t="s">
        <v>114</v>
      </c>
      <c r="C16" s="5" t="s">
        <v>115</v>
      </c>
      <c r="D16" s="5" t="s">
        <v>116</v>
      </c>
      <c r="E16" s="5">
        <v>46</v>
      </c>
      <c r="H16" s="8" t="s">
        <v>117</v>
      </c>
    </row>
    <row r="17" spans="2:8" x14ac:dyDescent="0.3">
      <c r="B17" s="5" t="s">
        <v>118</v>
      </c>
      <c r="C17" s="5" t="s">
        <v>85</v>
      </c>
      <c r="D17" s="5" t="s">
        <v>119</v>
      </c>
      <c r="E17" s="5" t="s">
        <v>120</v>
      </c>
      <c r="H17" s="8">
        <v>202875348</v>
      </c>
    </row>
    <row r="18" spans="2:8" x14ac:dyDescent="0.3">
      <c r="B18" s="5" t="s">
        <v>118</v>
      </c>
      <c r="C18" s="5" t="s">
        <v>97</v>
      </c>
      <c r="D18" s="5" t="s">
        <v>119</v>
      </c>
      <c r="E18" s="5">
        <v>48</v>
      </c>
      <c r="H18" s="8" t="s">
        <v>121</v>
      </c>
    </row>
    <row r="19" spans="2:8" x14ac:dyDescent="0.3">
      <c r="B19" s="5" t="s">
        <v>122</v>
      </c>
      <c r="C19" s="5" t="s">
        <v>85</v>
      </c>
      <c r="D19" s="5" t="s">
        <v>123</v>
      </c>
      <c r="E19" s="5">
        <v>43</v>
      </c>
      <c r="H19" s="8">
        <v>229221231</v>
      </c>
    </row>
    <row r="20" spans="2:8" x14ac:dyDescent="0.3">
      <c r="B20" s="5" t="s">
        <v>122</v>
      </c>
      <c r="C20" s="5" t="s">
        <v>85</v>
      </c>
      <c r="D20" s="5" t="s">
        <v>123</v>
      </c>
      <c r="E20" s="5" t="s">
        <v>124</v>
      </c>
      <c r="H20" s="8" t="s">
        <v>125</v>
      </c>
    </row>
    <row r="21" spans="2:8" ht="142.5" customHeight="1" x14ac:dyDescent="0.3">
      <c r="B21" s="5" t="s">
        <v>126</v>
      </c>
      <c r="C21" s="5" t="s">
        <v>82</v>
      </c>
      <c r="D21" s="5" t="s">
        <v>127</v>
      </c>
      <c r="E21" s="5">
        <v>45</v>
      </c>
      <c r="H21" s="8">
        <v>156092813</v>
      </c>
    </row>
    <row r="22" spans="2:8" x14ac:dyDescent="0.3">
      <c r="B22" s="5" t="s">
        <v>128</v>
      </c>
      <c r="C22" s="5" t="s">
        <v>85</v>
      </c>
      <c r="D22" s="5" t="s">
        <v>129</v>
      </c>
      <c r="E22" s="5">
        <v>55</v>
      </c>
      <c r="H22" s="8">
        <v>79893461</v>
      </c>
    </row>
    <row r="23" spans="2:8" x14ac:dyDescent="0.3">
      <c r="B23" s="5" t="s">
        <v>130</v>
      </c>
      <c r="C23" s="5" t="s">
        <v>85</v>
      </c>
      <c r="D23" s="5" t="s">
        <v>131</v>
      </c>
      <c r="E23" s="5" t="s">
        <v>132</v>
      </c>
      <c r="H23" s="8"/>
    </row>
    <row r="24" spans="2:8" x14ac:dyDescent="0.3">
      <c r="B24" s="5" t="s">
        <v>126</v>
      </c>
      <c r="C24" s="5" t="s">
        <v>133</v>
      </c>
      <c r="D24" s="5" t="s">
        <v>127</v>
      </c>
      <c r="E24" s="5">
        <v>45</v>
      </c>
      <c r="H24" s="8">
        <v>156092813</v>
      </c>
    </row>
    <row r="25" spans="2:8" x14ac:dyDescent="0.3">
      <c r="B25" s="5" t="s">
        <v>134</v>
      </c>
      <c r="C25" s="5" t="s">
        <v>85</v>
      </c>
      <c r="D25" s="5" t="s">
        <v>135</v>
      </c>
      <c r="E25" s="5">
        <v>53</v>
      </c>
      <c r="H25" s="8">
        <v>49627874</v>
      </c>
    </row>
    <row r="26" spans="2:8" x14ac:dyDescent="0.3">
      <c r="B26" s="5" t="s">
        <v>136</v>
      </c>
      <c r="C26" s="5" t="s">
        <v>82</v>
      </c>
      <c r="D26" s="5" t="s">
        <v>137</v>
      </c>
      <c r="E26" s="5">
        <v>47</v>
      </c>
      <c r="H26" s="8">
        <v>46033809</v>
      </c>
    </row>
    <row r="27" spans="2:8" x14ac:dyDescent="0.3">
      <c r="B27" s="5" t="s">
        <v>138</v>
      </c>
      <c r="C27" s="5" t="s">
        <v>139</v>
      </c>
      <c r="D27" s="5" t="s">
        <v>140</v>
      </c>
      <c r="E27" s="7" t="s">
        <v>141</v>
      </c>
      <c r="H27" s="8">
        <v>81178289</v>
      </c>
    </row>
    <row r="28" spans="2:8" x14ac:dyDescent="0.3">
      <c r="B28" s="5" t="s">
        <v>142</v>
      </c>
      <c r="C28" s="5" t="s">
        <v>85</v>
      </c>
      <c r="D28" s="5" t="s">
        <v>143</v>
      </c>
      <c r="E28" s="5">
        <v>47</v>
      </c>
      <c r="H28" s="9">
        <v>221112600</v>
      </c>
    </row>
    <row r="29" spans="2:8" x14ac:dyDescent="0.3">
      <c r="B29" s="5" t="s">
        <v>144</v>
      </c>
      <c r="C29" s="5" t="s">
        <v>145</v>
      </c>
      <c r="D29" s="5" t="s">
        <v>146</v>
      </c>
      <c r="E29" s="7" t="s">
        <v>92</v>
      </c>
      <c r="H29" s="8">
        <v>248275055</v>
      </c>
    </row>
    <row r="30" spans="2:8" x14ac:dyDescent="0.3">
      <c r="B30" s="5" t="s">
        <v>147</v>
      </c>
      <c r="C30" s="5" t="s">
        <v>89</v>
      </c>
      <c r="D30" s="5" t="s">
        <v>148</v>
      </c>
      <c r="E30" s="5">
        <v>52</v>
      </c>
      <c r="H30" s="8" t="s">
        <v>149</v>
      </c>
    </row>
    <row r="31" spans="2:8" x14ac:dyDescent="0.3">
      <c r="B31" s="5" t="s">
        <v>150</v>
      </c>
      <c r="C31" s="5" t="s">
        <v>85</v>
      </c>
      <c r="D31" s="5" t="s">
        <v>151</v>
      </c>
      <c r="E31" s="5" t="s">
        <v>152</v>
      </c>
      <c r="H31" s="8">
        <v>127703805.99999999</v>
      </c>
    </row>
    <row r="32" spans="2:8" x14ac:dyDescent="0.3">
      <c r="B32" s="5" t="s">
        <v>153</v>
      </c>
      <c r="C32" s="5" t="s">
        <v>154</v>
      </c>
      <c r="D32" s="5" t="s">
        <v>155</v>
      </c>
      <c r="E32" s="5">
        <v>52</v>
      </c>
      <c r="H32" s="8">
        <v>160439975</v>
      </c>
    </row>
    <row r="33" spans="2:8" x14ac:dyDescent="0.3">
      <c r="B33" s="5" t="s">
        <v>156</v>
      </c>
      <c r="C33" s="5" t="s">
        <v>89</v>
      </c>
      <c r="D33" s="5" t="s">
        <v>157</v>
      </c>
      <c r="E33" s="5">
        <v>45</v>
      </c>
      <c r="H33" s="8">
        <v>42389012</v>
      </c>
    </row>
    <row r="34" spans="2:8" x14ac:dyDescent="0.3">
      <c r="B34" s="5" t="s">
        <v>158</v>
      </c>
      <c r="C34" s="5" t="s">
        <v>85</v>
      </c>
      <c r="D34" s="5" t="s">
        <v>159</v>
      </c>
      <c r="E34" s="5">
        <v>43</v>
      </c>
      <c r="H34" s="8">
        <v>203211917</v>
      </c>
    </row>
    <row r="35" spans="2:8" x14ac:dyDescent="0.3">
      <c r="B35" s="5" t="s">
        <v>160</v>
      </c>
      <c r="C35" s="5" t="s">
        <v>82</v>
      </c>
      <c r="D35" s="5" t="s">
        <v>161</v>
      </c>
      <c r="E35" s="5">
        <v>58</v>
      </c>
      <c r="H35" s="8" t="s">
        <v>162</v>
      </c>
    </row>
    <row r="36" spans="2:8" x14ac:dyDescent="0.3">
      <c r="B36" s="5" t="s">
        <v>163</v>
      </c>
      <c r="C36" s="5" t="s">
        <v>145</v>
      </c>
      <c r="D36" s="5" t="s">
        <v>164</v>
      </c>
      <c r="E36" s="7" t="s">
        <v>141</v>
      </c>
      <c r="H36" s="8">
        <v>237405842</v>
      </c>
    </row>
    <row r="37" spans="2:8" x14ac:dyDescent="0.3">
      <c r="B37" s="5" t="s">
        <v>165</v>
      </c>
      <c r="C37" s="5" t="s">
        <v>85</v>
      </c>
      <c r="D37" s="5" t="s">
        <v>166</v>
      </c>
      <c r="E37" s="5">
        <v>51</v>
      </c>
      <c r="H37" s="8">
        <v>84144849</v>
      </c>
    </row>
    <row r="38" spans="2:8" x14ac:dyDescent="0.3">
      <c r="B38" s="5" t="s">
        <v>167</v>
      </c>
      <c r="C38" s="5" t="s">
        <v>82</v>
      </c>
      <c r="D38" s="5" t="s">
        <v>168</v>
      </c>
      <c r="E38" s="5">
        <v>43</v>
      </c>
      <c r="H38" s="8">
        <v>122548714</v>
      </c>
    </row>
    <row r="39" spans="2:8" x14ac:dyDescent="0.3">
      <c r="B39" s="5" t="s">
        <v>169</v>
      </c>
      <c r="C39" s="5" t="s">
        <v>82</v>
      </c>
      <c r="D39" s="5" t="s">
        <v>170</v>
      </c>
      <c r="E39" s="5">
        <v>53</v>
      </c>
      <c r="H39" s="8">
        <v>94959493</v>
      </c>
    </row>
    <row r="40" spans="2:8" x14ac:dyDescent="0.3">
      <c r="B40" s="5" t="s">
        <v>171</v>
      </c>
      <c r="C40" s="5" t="s">
        <v>145</v>
      </c>
      <c r="D40" s="5" t="s">
        <v>172</v>
      </c>
      <c r="E40" s="5">
        <v>46</v>
      </c>
      <c r="H40" s="8">
        <v>76242361</v>
      </c>
    </row>
    <row r="41" spans="2:8" x14ac:dyDescent="0.3">
      <c r="B41" s="5" t="s">
        <v>173</v>
      </c>
      <c r="C41" s="5" t="s">
        <v>82</v>
      </c>
      <c r="D41" s="5" t="s">
        <v>174</v>
      </c>
      <c r="E41" s="5">
        <v>60</v>
      </c>
      <c r="H41" s="8">
        <v>143029032</v>
      </c>
    </row>
    <row r="42" spans="2:8" x14ac:dyDescent="0.3">
      <c r="B42" s="5" t="s">
        <v>175</v>
      </c>
      <c r="C42" s="5" t="s">
        <v>85</v>
      </c>
      <c r="D42" s="5" t="s">
        <v>176</v>
      </c>
      <c r="E42" s="5">
        <v>53</v>
      </c>
      <c r="H42" s="8">
        <v>97462096</v>
      </c>
    </row>
    <row r="43" spans="2:8" x14ac:dyDescent="0.3">
      <c r="B43" s="5" t="s">
        <v>177</v>
      </c>
      <c r="C43" s="5" t="s">
        <v>85</v>
      </c>
      <c r="D43" s="5" t="s">
        <v>178</v>
      </c>
      <c r="E43" s="5">
        <v>51</v>
      </c>
      <c r="H43" s="8"/>
    </row>
    <row r="44" spans="2:8" x14ac:dyDescent="0.3">
      <c r="B44" s="5" t="s">
        <v>179</v>
      </c>
      <c r="C44" s="5" t="s">
        <v>85</v>
      </c>
      <c r="D44" s="5" t="s">
        <v>180</v>
      </c>
      <c r="E44" s="5">
        <v>54</v>
      </c>
      <c r="H44" s="8">
        <v>221187886</v>
      </c>
    </row>
    <row r="45" spans="2:8" x14ac:dyDescent="0.3">
      <c r="B45" s="5" t="s">
        <v>181</v>
      </c>
      <c r="C45" s="5" t="s">
        <v>145</v>
      </c>
      <c r="D45" s="5" t="s">
        <v>182</v>
      </c>
      <c r="E45" s="5">
        <v>49</v>
      </c>
      <c r="H45" s="8" t="s">
        <v>183</v>
      </c>
    </row>
    <row r="46" spans="2:8" x14ac:dyDescent="0.3">
      <c r="B46" s="5" t="s">
        <v>184</v>
      </c>
      <c r="C46" s="5" t="s">
        <v>85</v>
      </c>
      <c r="D46" s="5" t="s">
        <v>185</v>
      </c>
      <c r="E46" s="5">
        <v>46</v>
      </c>
      <c r="H46" s="8">
        <v>202702666</v>
      </c>
    </row>
    <row r="47" spans="2:8" x14ac:dyDescent="0.3">
      <c r="B47" s="5" t="s">
        <v>186</v>
      </c>
      <c r="C47" s="5" t="s">
        <v>145</v>
      </c>
      <c r="D47" s="5" t="s">
        <v>187</v>
      </c>
      <c r="E47" s="7" t="s">
        <v>141</v>
      </c>
      <c r="H47" s="8" t="s">
        <v>188</v>
      </c>
    </row>
    <row r="48" spans="2:8" x14ac:dyDescent="0.3">
      <c r="B48" s="5" t="s">
        <v>189</v>
      </c>
      <c r="C48" s="5" t="s">
        <v>145</v>
      </c>
      <c r="D48" s="5" t="s">
        <v>190</v>
      </c>
      <c r="E48" s="5">
        <v>56</v>
      </c>
      <c r="H48" s="8">
        <v>92123449</v>
      </c>
    </row>
    <row r="49" spans="2:8" x14ac:dyDescent="0.3">
      <c r="B49" s="5" t="s">
        <v>191</v>
      </c>
      <c r="C49" s="5" t="s">
        <v>145</v>
      </c>
      <c r="D49" s="5" t="s">
        <v>192</v>
      </c>
      <c r="E49" s="5">
        <v>52</v>
      </c>
      <c r="H49" s="8">
        <v>228655992</v>
      </c>
    </row>
    <row r="50" spans="2:8" x14ac:dyDescent="0.3">
      <c r="B50" s="5" t="s">
        <v>193</v>
      </c>
      <c r="C50" s="5" t="s">
        <v>85</v>
      </c>
      <c r="D50" s="5" t="s">
        <v>194</v>
      </c>
      <c r="E50" s="5">
        <v>50</v>
      </c>
      <c r="H50" s="8">
        <v>200468818</v>
      </c>
    </row>
    <row r="51" spans="2:8" x14ac:dyDescent="0.3">
      <c r="B51" s="5" t="s">
        <v>195</v>
      </c>
      <c r="C51" s="5" t="s">
        <v>82</v>
      </c>
      <c r="D51" s="5" t="s">
        <v>196</v>
      </c>
      <c r="E51" s="5">
        <v>56</v>
      </c>
      <c r="H51" s="8">
        <v>172546034</v>
      </c>
    </row>
    <row r="52" spans="2:8" x14ac:dyDescent="0.3">
      <c r="B52" s="5" t="s">
        <v>197</v>
      </c>
      <c r="C52" s="5" t="s">
        <v>85</v>
      </c>
      <c r="D52" s="5" t="s">
        <v>198</v>
      </c>
      <c r="E52" s="5">
        <v>56</v>
      </c>
      <c r="H52" s="8">
        <v>131303325.99999999</v>
      </c>
    </row>
    <row r="53" spans="2:8" x14ac:dyDescent="0.3">
      <c r="B53" s="5" t="s">
        <v>199</v>
      </c>
      <c r="C53" s="5" t="s">
        <v>85</v>
      </c>
      <c r="D53" s="5" t="s">
        <v>200</v>
      </c>
      <c r="E53" s="5">
        <v>58</v>
      </c>
      <c r="H53" s="8">
        <v>81303106</v>
      </c>
    </row>
    <row r="54" spans="2:8" x14ac:dyDescent="0.3">
      <c r="B54" s="5" t="s">
        <v>201</v>
      </c>
      <c r="C54" s="5" t="s">
        <v>82</v>
      </c>
      <c r="D54" s="5" t="s">
        <v>202</v>
      </c>
      <c r="E54" s="5">
        <v>51</v>
      </c>
      <c r="H54" s="8" t="s">
        <v>203</v>
      </c>
    </row>
    <row r="55" spans="2:8" x14ac:dyDescent="0.3">
      <c r="B55" s="5" t="s">
        <v>204</v>
      </c>
      <c r="C55" s="5" t="s">
        <v>85</v>
      </c>
      <c r="D55" s="5" t="s">
        <v>205</v>
      </c>
      <c r="E55" s="5">
        <v>47</v>
      </c>
      <c r="H55" s="8">
        <v>86942465</v>
      </c>
    </row>
    <row r="56" spans="2:8" x14ac:dyDescent="0.3">
      <c r="B56" s="5" t="s">
        <v>206</v>
      </c>
      <c r="C56" s="5" t="s">
        <v>85</v>
      </c>
      <c r="D56" s="5" t="s">
        <v>207</v>
      </c>
      <c r="E56" s="5">
        <v>52</v>
      </c>
      <c r="H56" s="8" t="s">
        <v>208</v>
      </c>
    </row>
    <row r="57" spans="2:8" x14ac:dyDescent="0.3">
      <c r="B57" s="5" t="s">
        <v>209</v>
      </c>
      <c r="C57" s="5" t="s">
        <v>89</v>
      </c>
      <c r="D57" s="5" t="s">
        <v>210</v>
      </c>
      <c r="E57" s="5">
        <v>60</v>
      </c>
      <c r="H57" s="8">
        <v>117998710</v>
      </c>
    </row>
    <row r="58" spans="2:8" x14ac:dyDescent="0.3">
      <c r="B58" s="5" t="s">
        <v>211</v>
      </c>
      <c r="C58" s="5" t="s">
        <v>82</v>
      </c>
      <c r="D58" s="5" t="s">
        <v>212</v>
      </c>
      <c r="E58" s="5">
        <v>45</v>
      </c>
      <c r="H58" s="8">
        <v>236886314</v>
      </c>
    </row>
    <row r="59" spans="2:8" x14ac:dyDescent="0.3">
      <c r="B59" s="5" t="s">
        <v>213</v>
      </c>
      <c r="C59" s="5" t="s">
        <v>82</v>
      </c>
      <c r="D59" s="5" t="s">
        <v>214</v>
      </c>
      <c r="E59" s="5" t="s">
        <v>215</v>
      </c>
      <c r="H59" s="8">
        <v>133966105</v>
      </c>
    </row>
    <row r="60" spans="2:8" x14ac:dyDescent="0.3">
      <c r="B60" s="5" t="s">
        <v>216</v>
      </c>
      <c r="C60" s="5" t="s">
        <v>82</v>
      </c>
      <c r="D60" s="5" t="s">
        <v>217</v>
      </c>
      <c r="E60" s="5">
        <v>46</v>
      </c>
      <c r="H60" s="8" t="s">
        <v>218</v>
      </c>
    </row>
    <row r="61" spans="2:8" x14ac:dyDescent="0.3">
      <c r="B61" s="5" t="s">
        <v>219</v>
      </c>
      <c r="C61" s="5" t="s">
        <v>82</v>
      </c>
      <c r="D61" s="5" t="s">
        <v>220</v>
      </c>
      <c r="E61" s="5">
        <v>58</v>
      </c>
      <c r="H61" s="8">
        <v>89642724</v>
      </c>
    </row>
    <row r="62" spans="2:8" x14ac:dyDescent="0.3">
      <c r="B62" s="5" t="s">
        <v>221</v>
      </c>
      <c r="C62" s="5" t="s">
        <v>89</v>
      </c>
      <c r="D62" s="5" t="s">
        <v>222</v>
      </c>
      <c r="E62" s="5">
        <v>56</v>
      </c>
      <c r="H62" s="8">
        <v>164514847</v>
      </c>
    </row>
    <row r="63" spans="2:8" x14ac:dyDescent="0.3">
      <c r="B63" s="5" t="s">
        <v>223</v>
      </c>
      <c r="C63" s="5" t="s">
        <v>85</v>
      </c>
      <c r="D63" s="5" t="s">
        <v>224</v>
      </c>
      <c r="E63" s="7" t="s">
        <v>141</v>
      </c>
      <c r="H63" s="8">
        <v>38570230</v>
      </c>
    </row>
    <row r="64" spans="2:8" x14ac:dyDescent="0.3">
      <c r="B64" s="5" t="s">
        <v>225</v>
      </c>
      <c r="C64" s="5" t="s">
        <v>89</v>
      </c>
      <c r="D64" s="5" t="s">
        <v>226</v>
      </c>
      <c r="E64" s="5">
        <v>60</v>
      </c>
      <c r="H64" s="8">
        <v>48742964</v>
      </c>
    </row>
    <row r="65" spans="2:8" x14ac:dyDescent="0.3">
      <c r="B65" s="5" t="s">
        <v>227</v>
      </c>
      <c r="C65" s="5" t="s">
        <v>85</v>
      </c>
      <c r="D65" s="5" t="s">
        <v>228</v>
      </c>
      <c r="E65" s="5">
        <v>55</v>
      </c>
      <c r="H65" s="8">
        <v>100238635</v>
      </c>
    </row>
    <row r="66" spans="2:8" x14ac:dyDescent="0.3">
      <c r="B66" s="5" t="s">
        <v>229</v>
      </c>
      <c r="C66" s="5" t="s">
        <v>82</v>
      </c>
      <c r="D66" s="5" t="s">
        <v>230</v>
      </c>
      <c r="E66" s="5">
        <v>55</v>
      </c>
      <c r="H66" s="8">
        <v>48752907</v>
      </c>
    </row>
    <row r="67" spans="2:8" x14ac:dyDescent="0.3">
      <c r="B67" s="5" t="s">
        <v>231</v>
      </c>
      <c r="C67" s="5" t="s">
        <v>82</v>
      </c>
      <c r="D67" s="5" t="s">
        <v>232</v>
      </c>
      <c r="E67" s="5">
        <v>55</v>
      </c>
      <c r="H67" s="8">
        <v>166960957</v>
      </c>
    </row>
    <row r="68" spans="2:8" x14ac:dyDescent="0.3">
      <c r="B68" s="5" t="s">
        <v>233</v>
      </c>
      <c r="C68" s="5" t="s">
        <v>82</v>
      </c>
      <c r="D68" s="5" t="s">
        <v>234</v>
      </c>
      <c r="E68" s="5" t="s">
        <v>235</v>
      </c>
      <c r="H68" s="8">
        <v>162041458</v>
      </c>
    </row>
    <row r="69" spans="2:8" x14ac:dyDescent="0.3">
      <c r="B69" s="5" t="s">
        <v>236</v>
      </c>
      <c r="C69" s="5" t="s">
        <v>82</v>
      </c>
      <c r="D69" s="5" t="s">
        <v>237</v>
      </c>
      <c r="E69" s="5">
        <v>47</v>
      </c>
      <c r="H69" s="8">
        <v>181882527</v>
      </c>
    </row>
    <row r="70" spans="2:8" x14ac:dyDescent="0.3">
      <c r="B70" s="5" t="s">
        <v>238</v>
      </c>
      <c r="C70" s="5" t="s">
        <v>145</v>
      </c>
      <c r="D70" s="5" t="s">
        <v>239</v>
      </c>
      <c r="E70" s="5">
        <v>44</v>
      </c>
      <c r="H70" s="8">
        <v>135976014</v>
      </c>
    </row>
    <row r="71" spans="2:8" x14ac:dyDescent="0.3">
      <c r="B71" s="5" t="s">
        <v>240</v>
      </c>
      <c r="C71" s="5" t="s">
        <v>85</v>
      </c>
      <c r="D71" s="5" t="s">
        <v>241</v>
      </c>
      <c r="E71" s="5">
        <v>52</v>
      </c>
      <c r="H71" s="8">
        <v>212296692</v>
      </c>
    </row>
    <row r="72" spans="2:8" x14ac:dyDescent="0.3">
      <c r="B72" s="5" t="s">
        <v>242</v>
      </c>
      <c r="C72" s="5" t="s">
        <v>145</v>
      </c>
      <c r="D72" s="5" t="s">
        <v>243</v>
      </c>
      <c r="E72" s="5">
        <v>57</v>
      </c>
      <c r="H72" s="8">
        <v>117885197</v>
      </c>
    </row>
    <row r="73" spans="2:8" x14ac:dyDescent="0.3">
      <c r="B73" s="5" t="s">
        <v>244</v>
      </c>
      <c r="C73" s="5" t="s">
        <v>89</v>
      </c>
      <c r="D73" s="5" t="s">
        <v>245</v>
      </c>
      <c r="E73" s="5">
        <v>55</v>
      </c>
      <c r="H73" s="8">
        <v>185498854</v>
      </c>
    </row>
    <row r="74" spans="2:8" x14ac:dyDescent="0.3">
      <c r="B74" s="5" t="s">
        <v>246</v>
      </c>
      <c r="C74" s="5" t="s">
        <v>145</v>
      </c>
      <c r="D74" s="5" t="s">
        <v>247</v>
      </c>
      <c r="E74" s="5">
        <v>58</v>
      </c>
      <c r="H74" s="8">
        <v>158235670</v>
      </c>
    </row>
    <row r="75" spans="2:8" x14ac:dyDescent="0.3">
      <c r="B75" s="5" t="s">
        <v>248</v>
      </c>
      <c r="C75" s="5" t="s">
        <v>82</v>
      </c>
      <c r="D75" s="5" t="s">
        <v>249</v>
      </c>
      <c r="E75" s="5">
        <v>43</v>
      </c>
      <c r="H75" s="8">
        <v>96513659</v>
      </c>
    </row>
    <row r="76" spans="2:8" x14ac:dyDescent="0.3">
      <c r="B76" s="5" t="s">
        <v>250</v>
      </c>
      <c r="C76" s="5" t="s">
        <v>89</v>
      </c>
      <c r="D76" s="5" t="s">
        <v>251</v>
      </c>
      <c r="E76" s="5">
        <v>60</v>
      </c>
      <c r="H76" s="8">
        <v>134302721</v>
      </c>
    </row>
    <row r="77" spans="2:8" x14ac:dyDescent="0.3">
      <c r="B77" s="5" t="s">
        <v>252</v>
      </c>
      <c r="C77" s="5" t="s">
        <v>85</v>
      </c>
      <c r="D77" s="5" t="s">
        <v>253</v>
      </c>
      <c r="E77" s="7" t="s">
        <v>141</v>
      </c>
      <c r="H77" s="8">
        <v>83590175</v>
      </c>
    </row>
    <row r="78" spans="2:8" x14ac:dyDescent="0.3">
      <c r="B78" s="5" t="s">
        <v>254</v>
      </c>
      <c r="C78" s="5" t="s">
        <v>85</v>
      </c>
      <c r="D78" s="5" t="s">
        <v>255</v>
      </c>
      <c r="E78" s="5">
        <v>47</v>
      </c>
      <c r="H78" s="8">
        <v>107864247</v>
      </c>
    </row>
    <row r="79" spans="2:8" x14ac:dyDescent="0.3">
      <c r="B79" s="5" t="s">
        <v>256</v>
      </c>
      <c r="C79" s="5" t="s">
        <v>85</v>
      </c>
      <c r="D79" s="5" t="s">
        <v>257</v>
      </c>
      <c r="E79" s="5">
        <v>60</v>
      </c>
      <c r="H79" s="8">
        <v>155903146</v>
      </c>
    </row>
    <row r="80" spans="2:8" x14ac:dyDescent="0.3">
      <c r="B80" s="5" t="s">
        <v>258</v>
      </c>
      <c r="C80" s="5" t="s">
        <v>145</v>
      </c>
      <c r="D80" s="5" t="s">
        <v>259</v>
      </c>
      <c r="E80" s="5">
        <v>60</v>
      </c>
      <c r="H80" s="8">
        <v>46856245</v>
      </c>
    </row>
    <row r="81" spans="2:8" x14ac:dyDescent="0.3">
      <c r="B81" s="5" t="s">
        <v>260</v>
      </c>
      <c r="C81" s="5" t="s">
        <v>85</v>
      </c>
      <c r="D81" s="5" t="s">
        <v>261</v>
      </c>
      <c r="E81" s="5">
        <v>45</v>
      </c>
      <c r="H81" s="8">
        <v>109447245</v>
      </c>
    </row>
    <row r="82" spans="2:8" x14ac:dyDescent="0.3">
      <c r="B82" s="5" t="s">
        <v>262</v>
      </c>
      <c r="C82" s="5" t="s">
        <v>89</v>
      </c>
      <c r="D82" s="5" t="s">
        <v>263</v>
      </c>
      <c r="E82" s="5">
        <v>58</v>
      </c>
      <c r="H82" s="8">
        <v>179601393</v>
      </c>
    </row>
    <row r="83" spans="2:8" x14ac:dyDescent="0.3">
      <c r="B83" s="5" t="s">
        <v>264</v>
      </c>
      <c r="C83" s="5" t="s">
        <v>85</v>
      </c>
      <c r="D83" s="5" t="s">
        <v>265</v>
      </c>
      <c r="E83" s="5">
        <v>48</v>
      </c>
      <c r="H83" s="8">
        <v>73646984</v>
      </c>
    </row>
    <row r="84" spans="2:8" x14ac:dyDescent="0.3">
      <c r="B84" s="5" t="s">
        <v>266</v>
      </c>
      <c r="C84" s="5" t="s">
        <v>85</v>
      </c>
      <c r="D84" s="5" t="s">
        <v>267</v>
      </c>
      <c r="E84" s="5">
        <v>56</v>
      </c>
      <c r="H84" s="8">
        <v>35729756</v>
      </c>
    </row>
    <row r="85" spans="2:8" x14ac:dyDescent="0.3">
      <c r="B85" s="5" t="s">
        <v>268</v>
      </c>
      <c r="C85" s="5" t="s">
        <v>82</v>
      </c>
      <c r="D85" s="5" t="s">
        <v>269</v>
      </c>
      <c r="E85" s="5">
        <v>43</v>
      </c>
      <c r="H85" s="8">
        <v>97634265</v>
      </c>
    </row>
    <row r="86" spans="2:8" x14ac:dyDescent="0.3">
      <c r="B86" s="5" t="s">
        <v>270</v>
      </c>
      <c r="C86" s="5" t="s">
        <v>85</v>
      </c>
      <c r="D86" s="5" t="s">
        <v>271</v>
      </c>
      <c r="E86" s="7" t="s">
        <v>141</v>
      </c>
      <c r="H86" s="8">
        <v>139224256</v>
      </c>
    </row>
    <row r="87" spans="2:8" x14ac:dyDescent="0.3">
      <c r="B87" s="5" t="s">
        <v>272</v>
      </c>
      <c r="C87" s="5" t="s">
        <v>82</v>
      </c>
      <c r="D87" s="5" t="s">
        <v>273</v>
      </c>
      <c r="E87" s="5">
        <v>52</v>
      </c>
      <c r="H87" s="8">
        <v>51659784</v>
      </c>
    </row>
    <row r="88" spans="2:8" x14ac:dyDescent="0.3">
      <c r="B88" s="5" t="s">
        <v>274</v>
      </c>
      <c r="C88" s="5" t="s">
        <v>82</v>
      </c>
      <c r="D88" s="5" t="s">
        <v>275</v>
      </c>
      <c r="E88" s="5">
        <v>53</v>
      </c>
      <c r="H88" s="8">
        <v>168695644</v>
      </c>
    </row>
    <row r="89" spans="2:8" x14ac:dyDescent="0.3">
      <c r="B89" s="5" t="s">
        <v>276</v>
      </c>
      <c r="C89" s="5" t="s">
        <v>145</v>
      </c>
      <c r="D89" s="5" t="s">
        <v>277</v>
      </c>
      <c r="E89" s="5">
        <v>43</v>
      </c>
      <c r="H89" s="8">
        <v>214869861</v>
      </c>
    </row>
    <row r="90" spans="2:8" x14ac:dyDescent="0.3">
      <c r="B90" s="5" t="s">
        <v>278</v>
      </c>
      <c r="C90" s="5" t="s">
        <v>85</v>
      </c>
      <c r="D90" s="5" t="s">
        <v>279</v>
      </c>
      <c r="E90" s="5">
        <v>44</v>
      </c>
      <c r="H90" s="8">
        <v>128122477</v>
      </c>
    </row>
    <row r="91" spans="2:8" x14ac:dyDescent="0.3">
      <c r="B91" s="5" t="s">
        <v>280</v>
      </c>
      <c r="C91" s="5" t="s">
        <v>89</v>
      </c>
      <c r="D91" s="5" t="s">
        <v>281</v>
      </c>
      <c r="E91" s="5">
        <v>45</v>
      </c>
      <c r="H91" s="8">
        <v>62306665</v>
      </c>
    </row>
    <row r="92" spans="2:8" x14ac:dyDescent="0.3">
      <c r="B92" s="5" t="s">
        <v>282</v>
      </c>
      <c r="C92" s="5" t="s">
        <v>145</v>
      </c>
      <c r="D92" s="5" t="s">
        <v>283</v>
      </c>
      <c r="E92" s="5">
        <v>50</v>
      </c>
      <c r="H92" s="8">
        <v>46981074</v>
      </c>
    </row>
    <row r="93" spans="2:8" x14ac:dyDescent="0.3">
      <c r="B93" s="5" t="s">
        <v>274</v>
      </c>
      <c r="C93" s="5" t="s">
        <v>82</v>
      </c>
      <c r="D93" s="5" t="s">
        <v>275</v>
      </c>
      <c r="E93" s="5">
        <v>53</v>
      </c>
      <c r="H93" s="8">
        <v>168695644</v>
      </c>
    </row>
    <row r="94" spans="2:8" x14ac:dyDescent="0.3">
      <c r="B94" s="5" t="s">
        <v>276</v>
      </c>
      <c r="C94" s="5" t="s">
        <v>145</v>
      </c>
      <c r="D94" s="5" t="s">
        <v>277</v>
      </c>
      <c r="E94" s="5">
        <v>43</v>
      </c>
      <c r="H94" s="8">
        <v>214869861</v>
      </c>
    </row>
    <row r="95" spans="2:8" x14ac:dyDescent="0.3">
      <c r="B95" s="5" t="s">
        <v>278</v>
      </c>
      <c r="C95" s="5" t="s">
        <v>85</v>
      </c>
      <c r="D95" s="5" t="s">
        <v>279</v>
      </c>
      <c r="E95" s="5">
        <v>44</v>
      </c>
      <c r="H95" s="8">
        <v>128122477</v>
      </c>
    </row>
    <row r="96" spans="2:8" x14ac:dyDescent="0.3">
      <c r="B96" s="5" t="s">
        <v>280</v>
      </c>
      <c r="C96" s="5" t="s">
        <v>89</v>
      </c>
      <c r="D96" s="5" t="s">
        <v>281</v>
      </c>
      <c r="E96" s="5">
        <v>45</v>
      </c>
      <c r="H96" s="8">
        <v>62306665</v>
      </c>
    </row>
    <row r="97" spans="2:8" x14ac:dyDescent="0.3">
      <c r="B97" s="5" t="s">
        <v>282</v>
      </c>
      <c r="C97" s="5" t="s">
        <v>145</v>
      </c>
      <c r="D97" s="5" t="s">
        <v>283</v>
      </c>
      <c r="E97" s="5">
        <v>50</v>
      </c>
      <c r="H97" s="8">
        <v>46981074</v>
      </c>
    </row>
    <row r="98" spans="2:8" x14ac:dyDescent="0.3">
      <c r="B98" s="5" t="s">
        <v>284</v>
      </c>
      <c r="C98" s="5" t="s">
        <v>85</v>
      </c>
      <c r="D98" s="5" t="s">
        <v>285</v>
      </c>
      <c r="E98" s="5">
        <v>48</v>
      </c>
      <c r="H98" s="8">
        <v>201303981</v>
      </c>
    </row>
    <row r="99" spans="2:8" x14ac:dyDescent="0.3">
      <c r="B99" s="5" t="s">
        <v>286</v>
      </c>
      <c r="C99" s="5" t="s">
        <v>85</v>
      </c>
      <c r="D99" s="5" t="s">
        <v>287</v>
      </c>
      <c r="E99" s="7" t="s">
        <v>141</v>
      </c>
      <c r="H99" s="8">
        <v>225614048</v>
      </c>
    </row>
    <row r="100" spans="2:8" x14ac:dyDescent="0.3">
      <c r="B100" s="5" t="s">
        <v>288</v>
      </c>
      <c r="C100" s="5" t="s">
        <v>89</v>
      </c>
      <c r="D100" s="5" t="s">
        <v>289</v>
      </c>
      <c r="E100" s="5">
        <v>55</v>
      </c>
      <c r="H100" s="8">
        <v>71499784</v>
      </c>
    </row>
    <row r="101" spans="2:8" x14ac:dyDescent="0.3">
      <c r="B101" s="5" t="s">
        <v>290</v>
      </c>
      <c r="C101" s="5" t="s">
        <v>89</v>
      </c>
      <c r="D101" s="5" t="s">
        <v>291</v>
      </c>
      <c r="E101" s="5">
        <v>46</v>
      </c>
      <c r="H101" s="8">
        <v>197933313</v>
      </c>
    </row>
    <row r="102" spans="2:8" x14ac:dyDescent="0.3">
      <c r="B102" s="5" t="s">
        <v>292</v>
      </c>
      <c r="C102" s="5" t="s">
        <v>85</v>
      </c>
      <c r="D102" s="5" t="s">
        <v>293</v>
      </c>
      <c r="E102" s="5">
        <v>56</v>
      </c>
      <c r="H102" s="8">
        <v>246582188</v>
      </c>
    </row>
    <row r="103" spans="2:8" x14ac:dyDescent="0.3">
      <c r="B103" s="5" t="s">
        <v>294</v>
      </c>
      <c r="C103" s="5" t="s">
        <v>145</v>
      </c>
      <c r="D103" s="5" t="s">
        <v>295</v>
      </c>
      <c r="E103" s="5">
        <v>58</v>
      </c>
      <c r="H103" s="8" t="s">
        <v>296</v>
      </c>
    </row>
    <row r="104" spans="2:8" x14ac:dyDescent="0.3">
      <c r="B104" s="5" t="s">
        <v>136</v>
      </c>
      <c r="C104" s="5" t="s">
        <v>133</v>
      </c>
      <c r="D104" s="5" t="s">
        <v>137</v>
      </c>
      <c r="E104" s="5">
        <v>47</v>
      </c>
      <c r="H104" s="8">
        <v>46033809</v>
      </c>
    </row>
    <row r="105" spans="2:8" x14ac:dyDescent="0.3">
      <c r="B105" s="5" t="s">
        <v>297</v>
      </c>
      <c r="C105" s="5" t="s">
        <v>82</v>
      </c>
      <c r="D105" s="5" t="s">
        <v>298</v>
      </c>
      <c r="E105" s="5">
        <v>46</v>
      </c>
      <c r="H105" s="8">
        <v>215518341</v>
      </c>
    </row>
    <row r="106" spans="2:8" x14ac:dyDescent="0.3">
      <c r="B106" s="5" t="s">
        <v>297</v>
      </c>
      <c r="C106" s="5" t="s">
        <v>85</v>
      </c>
      <c r="D106" s="5" t="s">
        <v>298</v>
      </c>
      <c r="E106" s="5">
        <v>46</v>
      </c>
      <c r="H106" s="8">
        <v>215518341</v>
      </c>
    </row>
    <row r="107" spans="2:8" x14ac:dyDescent="0.3">
      <c r="B107" s="5" t="s">
        <v>299</v>
      </c>
      <c r="C107" s="5" t="s">
        <v>89</v>
      </c>
      <c r="D107" s="5" t="s">
        <v>300</v>
      </c>
      <c r="E107" s="5">
        <v>58</v>
      </c>
      <c r="H107" s="8">
        <v>85688101</v>
      </c>
    </row>
    <row r="108" spans="2:8" x14ac:dyDescent="0.3">
      <c r="B108" s="5" t="s">
        <v>299</v>
      </c>
      <c r="C108" s="5" t="s">
        <v>85</v>
      </c>
      <c r="D108" s="5" t="s">
        <v>300</v>
      </c>
      <c r="E108" s="5">
        <v>58</v>
      </c>
      <c r="H108" s="8">
        <v>85688101</v>
      </c>
    </row>
    <row r="109" spans="2:8" x14ac:dyDescent="0.3">
      <c r="B109" s="5" t="s">
        <v>301</v>
      </c>
      <c r="C109" s="5" t="s">
        <v>82</v>
      </c>
      <c r="D109" s="5" t="s">
        <v>302</v>
      </c>
      <c r="E109" s="5">
        <v>51</v>
      </c>
      <c r="H109" s="8">
        <v>208610720</v>
      </c>
    </row>
    <row r="110" spans="2:8" x14ac:dyDescent="0.3">
      <c r="B110" s="5" t="s">
        <v>301</v>
      </c>
      <c r="C110" s="5" t="s">
        <v>133</v>
      </c>
      <c r="D110" s="5" t="s">
        <v>302</v>
      </c>
      <c r="E110" s="5">
        <v>51</v>
      </c>
      <c r="H110" s="8" t="s">
        <v>303</v>
      </c>
    </row>
    <row r="111" spans="2:8" x14ac:dyDescent="0.3">
      <c r="B111" s="5" t="s">
        <v>304</v>
      </c>
      <c r="C111" s="5" t="s">
        <v>85</v>
      </c>
      <c r="D111" s="5" t="s">
        <v>305</v>
      </c>
      <c r="E111" s="5">
        <v>49</v>
      </c>
      <c r="H111" s="8">
        <v>197914384</v>
      </c>
    </row>
    <row r="112" spans="2:8" x14ac:dyDescent="0.3">
      <c r="B112" s="5" t="s">
        <v>306</v>
      </c>
      <c r="C112" s="5" t="s">
        <v>85</v>
      </c>
      <c r="D112" s="5" t="s">
        <v>307</v>
      </c>
      <c r="E112" s="5">
        <v>46</v>
      </c>
      <c r="H112" s="8">
        <v>124577091</v>
      </c>
    </row>
    <row r="113" spans="2:8" x14ac:dyDescent="0.3">
      <c r="B113" s="5" t="s">
        <v>308</v>
      </c>
      <c r="C113" s="5" t="s">
        <v>133</v>
      </c>
      <c r="D113" s="5" t="s">
        <v>309</v>
      </c>
      <c r="E113" s="5">
        <v>49</v>
      </c>
      <c r="H113" s="8">
        <v>160565332</v>
      </c>
    </row>
    <row r="114" spans="2:8" x14ac:dyDescent="0.3">
      <c r="B114" s="5" t="s">
        <v>308</v>
      </c>
      <c r="C114" s="5" t="s">
        <v>85</v>
      </c>
      <c r="D114" s="5" t="s">
        <v>309</v>
      </c>
      <c r="E114" s="5">
        <v>49</v>
      </c>
      <c r="H114" s="8">
        <v>160565332</v>
      </c>
    </row>
    <row r="115" spans="2:8" x14ac:dyDescent="0.3">
      <c r="B115" s="5" t="s">
        <v>310</v>
      </c>
      <c r="C115" s="5" t="s">
        <v>145</v>
      </c>
      <c r="D115" s="5" t="s">
        <v>311</v>
      </c>
      <c r="E115" s="5">
        <v>60</v>
      </c>
      <c r="H115" s="8">
        <v>164658695</v>
      </c>
    </row>
    <row r="116" spans="2:8" x14ac:dyDescent="0.3">
      <c r="B116" s="5" t="s">
        <v>310</v>
      </c>
      <c r="C116" s="5" t="s">
        <v>85</v>
      </c>
      <c r="D116" s="5" t="s">
        <v>311</v>
      </c>
      <c r="E116" s="5">
        <v>60</v>
      </c>
      <c r="H116" s="8">
        <v>164658695</v>
      </c>
    </row>
    <row r="117" spans="2:8" x14ac:dyDescent="0.3">
      <c r="B117" s="5" t="s">
        <v>312</v>
      </c>
      <c r="C117" s="5" t="s">
        <v>85</v>
      </c>
      <c r="D117" s="5" t="s">
        <v>313</v>
      </c>
      <c r="E117" s="5">
        <v>46</v>
      </c>
      <c r="H117" s="8">
        <v>158696184</v>
      </c>
    </row>
    <row r="118" spans="2:8" x14ac:dyDescent="0.3">
      <c r="B118" s="5" t="s">
        <v>314</v>
      </c>
      <c r="C118" s="5" t="s">
        <v>97</v>
      </c>
      <c r="D118" s="5" t="s">
        <v>315</v>
      </c>
      <c r="E118" s="5">
        <v>54</v>
      </c>
      <c r="H118" s="5">
        <v>189210628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05B9-DAF3-4CC6-B231-51104D1EF42F}">
  <dimension ref="A3:A104"/>
  <sheetViews>
    <sheetView topLeftCell="A5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1.6640625" bestFit="1" customWidth="1"/>
  </cols>
  <sheetData>
    <row r="3" spans="1:1" x14ac:dyDescent="0.3">
      <c r="A3" s="13" t="s">
        <v>397</v>
      </c>
    </row>
    <row r="4" spans="1:1" x14ac:dyDescent="0.3">
      <c r="A4" s="14">
        <v>35729756</v>
      </c>
    </row>
    <row r="5" spans="1:1" x14ac:dyDescent="0.3">
      <c r="A5" s="14">
        <v>38570230</v>
      </c>
    </row>
    <row r="6" spans="1:1" x14ac:dyDescent="0.3">
      <c r="A6" s="14">
        <v>42389012</v>
      </c>
    </row>
    <row r="7" spans="1:1" x14ac:dyDescent="0.3">
      <c r="A7" s="14">
        <v>46033809</v>
      </c>
    </row>
    <row r="8" spans="1:1" x14ac:dyDescent="0.3">
      <c r="A8" s="14">
        <v>46856245</v>
      </c>
    </row>
    <row r="9" spans="1:1" x14ac:dyDescent="0.3">
      <c r="A9" s="14">
        <v>46981074</v>
      </c>
    </row>
    <row r="10" spans="1:1" x14ac:dyDescent="0.3">
      <c r="A10" s="14">
        <v>48742964</v>
      </c>
    </row>
    <row r="11" spans="1:1" x14ac:dyDescent="0.3">
      <c r="A11" s="14">
        <v>48752907</v>
      </c>
    </row>
    <row r="12" spans="1:1" x14ac:dyDescent="0.3">
      <c r="A12" s="14">
        <v>49627874</v>
      </c>
    </row>
    <row r="13" spans="1:1" x14ac:dyDescent="0.3">
      <c r="A13" s="14">
        <v>51659784</v>
      </c>
    </row>
    <row r="14" spans="1:1" x14ac:dyDescent="0.3">
      <c r="A14" s="14">
        <v>62306665</v>
      </c>
    </row>
    <row r="15" spans="1:1" x14ac:dyDescent="0.3">
      <c r="A15" s="14">
        <v>71499784</v>
      </c>
    </row>
    <row r="16" spans="1:1" x14ac:dyDescent="0.3">
      <c r="A16" s="14">
        <v>73646984</v>
      </c>
    </row>
    <row r="17" spans="1:1" x14ac:dyDescent="0.3">
      <c r="A17" s="14">
        <v>76242361</v>
      </c>
    </row>
    <row r="18" spans="1:1" x14ac:dyDescent="0.3">
      <c r="A18" s="14">
        <v>79893461</v>
      </c>
    </row>
    <row r="19" spans="1:1" x14ac:dyDescent="0.3">
      <c r="A19" s="14">
        <v>81178289</v>
      </c>
    </row>
    <row r="20" spans="1:1" x14ac:dyDescent="0.3">
      <c r="A20" s="14">
        <v>81303106</v>
      </c>
    </row>
    <row r="21" spans="1:1" x14ac:dyDescent="0.3">
      <c r="A21" s="14">
        <v>83590175</v>
      </c>
    </row>
    <row r="22" spans="1:1" x14ac:dyDescent="0.3">
      <c r="A22" s="14">
        <v>84144849</v>
      </c>
    </row>
    <row r="23" spans="1:1" x14ac:dyDescent="0.3">
      <c r="A23" s="14">
        <v>85688101</v>
      </c>
    </row>
    <row r="24" spans="1:1" x14ac:dyDescent="0.3">
      <c r="A24" s="14">
        <v>86942465</v>
      </c>
    </row>
    <row r="25" spans="1:1" x14ac:dyDescent="0.3">
      <c r="A25" s="14">
        <v>89642724</v>
      </c>
    </row>
    <row r="26" spans="1:1" x14ac:dyDescent="0.3">
      <c r="A26" s="14">
        <v>92123449</v>
      </c>
    </row>
    <row r="27" spans="1:1" x14ac:dyDescent="0.3">
      <c r="A27" s="14">
        <v>94959493</v>
      </c>
    </row>
    <row r="28" spans="1:1" x14ac:dyDescent="0.3">
      <c r="A28" s="14">
        <v>96513659</v>
      </c>
    </row>
    <row r="29" spans="1:1" x14ac:dyDescent="0.3">
      <c r="A29" s="14">
        <v>97462096</v>
      </c>
    </row>
    <row r="30" spans="1:1" x14ac:dyDescent="0.3">
      <c r="A30" s="14">
        <v>97634265</v>
      </c>
    </row>
    <row r="31" spans="1:1" x14ac:dyDescent="0.3">
      <c r="A31" s="14">
        <v>100238635</v>
      </c>
    </row>
    <row r="32" spans="1:1" x14ac:dyDescent="0.3">
      <c r="A32" s="14">
        <v>107864247</v>
      </c>
    </row>
    <row r="33" spans="1:1" x14ac:dyDescent="0.3">
      <c r="A33" s="14">
        <v>109447245</v>
      </c>
    </row>
    <row r="34" spans="1:1" x14ac:dyDescent="0.3">
      <c r="A34" s="14">
        <v>117885197</v>
      </c>
    </row>
    <row r="35" spans="1:1" x14ac:dyDescent="0.3">
      <c r="A35" s="14">
        <v>117998710</v>
      </c>
    </row>
    <row r="36" spans="1:1" x14ac:dyDescent="0.3">
      <c r="A36" s="14">
        <v>122548714</v>
      </c>
    </row>
    <row r="37" spans="1:1" x14ac:dyDescent="0.3">
      <c r="A37" s="14">
        <v>124577091</v>
      </c>
    </row>
    <row r="38" spans="1:1" x14ac:dyDescent="0.3">
      <c r="A38" s="14">
        <v>127703805.99999999</v>
      </c>
    </row>
    <row r="39" spans="1:1" x14ac:dyDescent="0.3">
      <c r="A39" s="14">
        <v>128122477</v>
      </c>
    </row>
    <row r="40" spans="1:1" x14ac:dyDescent="0.3">
      <c r="A40" s="14">
        <v>131303325.99999999</v>
      </c>
    </row>
    <row r="41" spans="1:1" x14ac:dyDescent="0.3">
      <c r="A41" s="14">
        <v>133966105</v>
      </c>
    </row>
    <row r="42" spans="1:1" x14ac:dyDescent="0.3">
      <c r="A42" s="14">
        <v>134302721</v>
      </c>
    </row>
    <row r="43" spans="1:1" x14ac:dyDescent="0.3">
      <c r="A43" s="14">
        <v>135976014</v>
      </c>
    </row>
    <row r="44" spans="1:1" x14ac:dyDescent="0.3">
      <c r="A44" s="14">
        <v>139224256</v>
      </c>
    </row>
    <row r="45" spans="1:1" x14ac:dyDescent="0.3">
      <c r="A45" s="14">
        <v>143029032</v>
      </c>
    </row>
    <row r="46" spans="1:1" x14ac:dyDescent="0.3">
      <c r="A46" s="14">
        <v>155903146</v>
      </c>
    </row>
    <row r="47" spans="1:1" x14ac:dyDescent="0.3">
      <c r="A47" s="14">
        <v>156092813</v>
      </c>
    </row>
    <row r="48" spans="1:1" x14ac:dyDescent="0.3">
      <c r="A48" s="14">
        <v>158235670</v>
      </c>
    </row>
    <row r="49" spans="1:1" x14ac:dyDescent="0.3">
      <c r="A49" s="14">
        <v>158405173</v>
      </c>
    </row>
    <row r="50" spans="1:1" x14ac:dyDescent="0.3">
      <c r="A50" s="14">
        <v>158696184</v>
      </c>
    </row>
    <row r="51" spans="1:1" x14ac:dyDescent="0.3">
      <c r="A51" s="14">
        <v>160439975</v>
      </c>
    </row>
    <row r="52" spans="1:1" x14ac:dyDescent="0.3">
      <c r="A52" s="14">
        <v>160565332</v>
      </c>
    </row>
    <row r="53" spans="1:1" x14ac:dyDescent="0.3">
      <c r="A53" s="14">
        <v>162041458</v>
      </c>
    </row>
    <row r="54" spans="1:1" x14ac:dyDescent="0.3">
      <c r="A54" s="14">
        <v>162316306</v>
      </c>
    </row>
    <row r="55" spans="1:1" x14ac:dyDescent="0.3">
      <c r="A55" s="14">
        <v>164514847</v>
      </c>
    </row>
    <row r="56" spans="1:1" x14ac:dyDescent="0.3">
      <c r="A56" s="14">
        <v>164658695</v>
      </c>
    </row>
    <row r="57" spans="1:1" x14ac:dyDescent="0.3">
      <c r="A57" s="14">
        <v>166960957</v>
      </c>
    </row>
    <row r="58" spans="1:1" x14ac:dyDescent="0.3">
      <c r="A58" s="14">
        <v>168695644</v>
      </c>
    </row>
    <row r="59" spans="1:1" x14ac:dyDescent="0.3">
      <c r="A59" s="14">
        <v>172546034</v>
      </c>
    </row>
    <row r="60" spans="1:1" x14ac:dyDescent="0.3">
      <c r="A60" s="14">
        <v>179601393</v>
      </c>
    </row>
    <row r="61" spans="1:1" x14ac:dyDescent="0.3">
      <c r="A61" s="14">
        <v>181882527</v>
      </c>
    </row>
    <row r="62" spans="1:1" x14ac:dyDescent="0.3">
      <c r="A62" s="14">
        <v>185498854</v>
      </c>
    </row>
    <row r="63" spans="1:1" x14ac:dyDescent="0.3">
      <c r="A63" s="14">
        <v>189210628</v>
      </c>
    </row>
    <row r="64" spans="1:1" x14ac:dyDescent="0.3">
      <c r="A64" s="14">
        <v>193319956</v>
      </c>
    </row>
    <row r="65" spans="1:1" x14ac:dyDescent="0.3">
      <c r="A65" s="14">
        <v>197914384</v>
      </c>
    </row>
    <row r="66" spans="1:1" x14ac:dyDescent="0.3">
      <c r="A66" s="14">
        <v>197933313</v>
      </c>
    </row>
    <row r="67" spans="1:1" x14ac:dyDescent="0.3">
      <c r="A67" s="14">
        <v>200468818</v>
      </c>
    </row>
    <row r="68" spans="1:1" x14ac:dyDescent="0.3">
      <c r="A68" s="14">
        <v>201303981</v>
      </c>
    </row>
    <row r="69" spans="1:1" x14ac:dyDescent="0.3">
      <c r="A69" s="14">
        <v>202702666</v>
      </c>
    </row>
    <row r="70" spans="1:1" x14ac:dyDescent="0.3">
      <c r="A70" s="14">
        <v>202875348</v>
      </c>
    </row>
    <row r="71" spans="1:1" x14ac:dyDescent="0.3">
      <c r="A71" s="14">
        <v>203211917</v>
      </c>
    </row>
    <row r="72" spans="1:1" x14ac:dyDescent="0.3">
      <c r="A72" s="14">
        <v>208610720</v>
      </c>
    </row>
    <row r="73" spans="1:1" x14ac:dyDescent="0.3">
      <c r="A73" s="14">
        <v>212296692</v>
      </c>
    </row>
    <row r="74" spans="1:1" x14ac:dyDescent="0.3">
      <c r="A74" s="14">
        <v>214869861</v>
      </c>
    </row>
    <row r="75" spans="1:1" x14ac:dyDescent="0.3">
      <c r="A75" s="14">
        <v>215518341</v>
      </c>
    </row>
    <row r="76" spans="1:1" x14ac:dyDescent="0.3">
      <c r="A76" s="14">
        <v>221112600</v>
      </c>
    </row>
    <row r="77" spans="1:1" x14ac:dyDescent="0.3">
      <c r="A77" s="14">
        <v>221187886</v>
      </c>
    </row>
    <row r="78" spans="1:1" x14ac:dyDescent="0.3">
      <c r="A78" s="14">
        <v>225614048</v>
      </c>
    </row>
    <row r="79" spans="1:1" x14ac:dyDescent="0.3">
      <c r="A79" s="14">
        <v>228655992</v>
      </c>
    </row>
    <row r="80" spans="1:1" x14ac:dyDescent="0.3">
      <c r="A80" s="14">
        <v>229221231</v>
      </c>
    </row>
    <row r="81" spans="1:1" x14ac:dyDescent="0.3">
      <c r="A81" s="14">
        <v>230867743</v>
      </c>
    </row>
    <row r="82" spans="1:1" x14ac:dyDescent="0.3">
      <c r="A82" s="14">
        <v>236886314</v>
      </c>
    </row>
    <row r="83" spans="1:1" x14ac:dyDescent="0.3">
      <c r="A83" s="14">
        <v>237405842</v>
      </c>
    </row>
    <row r="84" spans="1:1" x14ac:dyDescent="0.3">
      <c r="A84" s="14">
        <v>246582188</v>
      </c>
    </row>
    <row r="85" spans="1:1" x14ac:dyDescent="0.3">
      <c r="A85" s="14">
        <v>248275055</v>
      </c>
    </row>
    <row r="86" spans="1:1" x14ac:dyDescent="0.3">
      <c r="A86" s="14" t="s">
        <v>296</v>
      </c>
    </row>
    <row r="87" spans="1:1" x14ac:dyDescent="0.3">
      <c r="A87" s="14" t="s">
        <v>149</v>
      </c>
    </row>
    <row r="88" spans="1:1" x14ac:dyDescent="0.3">
      <c r="A88" s="14" t="s">
        <v>99</v>
      </c>
    </row>
    <row r="89" spans="1:1" x14ac:dyDescent="0.3">
      <c r="A89" s="14" t="s">
        <v>162</v>
      </c>
    </row>
    <row r="90" spans="1:1" x14ac:dyDescent="0.3">
      <c r="A90" s="14" t="s">
        <v>183</v>
      </c>
    </row>
    <row r="91" spans="1:1" x14ac:dyDescent="0.3">
      <c r="A91" s="14" t="s">
        <v>303</v>
      </c>
    </row>
    <row r="92" spans="1:1" x14ac:dyDescent="0.3">
      <c r="A92" s="14" t="s">
        <v>121</v>
      </c>
    </row>
    <row r="93" spans="1:1" x14ac:dyDescent="0.3">
      <c r="A93" s="14" t="s">
        <v>80</v>
      </c>
    </row>
    <row r="94" spans="1:1" x14ac:dyDescent="0.3">
      <c r="A94" s="14" t="s">
        <v>203</v>
      </c>
    </row>
    <row r="95" spans="1:1" x14ac:dyDescent="0.3">
      <c r="A95" s="14" t="s">
        <v>125</v>
      </c>
    </row>
    <row r="96" spans="1:1" x14ac:dyDescent="0.3">
      <c r="A96" s="14" t="s">
        <v>208</v>
      </c>
    </row>
    <row r="97" spans="1:1" x14ac:dyDescent="0.3">
      <c r="A97" s="14" t="s">
        <v>117</v>
      </c>
    </row>
    <row r="98" spans="1:1" x14ac:dyDescent="0.3">
      <c r="A98" s="14" t="s">
        <v>188</v>
      </c>
    </row>
    <row r="99" spans="1:1" x14ac:dyDescent="0.3">
      <c r="A99" s="14" t="s">
        <v>218</v>
      </c>
    </row>
    <row r="100" spans="1:1" x14ac:dyDescent="0.3">
      <c r="A100" s="14" t="s">
        <v>106</v>
      </c>
    </row>
    <row r="101" spans="1:1" x14ac:dyDescent="0.3">
      <c r="A101" s="14" t="s">
        <v>109</v>
      </c>
    </row>
    <row r="102" spans="1:1" x14ac:dyDescent="0.3">
      <c r="A102" s="14" t="s">
        <v>102</v>
      </c>
    </row>
    <row r="103" spans="1:1" x14ac:dyDescent="0.3">
      <c r="A103" s="14" t="s">
        <v>618</v>
      </c>
    </row>
    <row r="104" spans="1:1" x14ac:dyDescent="0.3">
      <c r="A104" s="14" t="s">
        <v>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E4AD-FFE8-454A-8673-3CAE494CFAC8}">
  <dimension ref="B2:H118"/>
  <sheetViews>
    <sheetView tabSelected="1" zoomScaleNormal="100" workbookViewId="0">
      <selection activeCell="J13" sqref="J13"/>
    </sheetView>
  </sheetViews>
  <sheetFormatPr defaultRowHeight="14.4" x14ac:dyDescent="0.3"/>
  <cols>
    <col min="1" max="1" width="8.88671875" style="5"/>
    <col min="2" max="2" width="24.5546875" style="5" bestFit="1" customWidth="1"/>
    <col min="3" max="3" width="19" style="5" bestFit="1" customWidth="1"/>
    <col min="4" max="5" width="19" style="5" customWidth="1"/>
    <col min="6" max="6" width="15.109375" style="5" bestFit="1" customWidth="1"/>
    <col min="7" max="7" width="6.21875" style="5" customWidth="1"/>
    <col min="8" max="8" width="15.77734375" style="16" bestFit="1" customWidth="1"/>
    <col min="9" max="16384" width="8.88671875" style="5"/>
  </cols>
  <sheetData>
    <row r="2" spans="2:8" x14ac:dyDescent="0.3">
      <c r="B2" s="5" t="s">
        <v>69</v>
      </c>
      <c r="C2" s="5" t="s">
        <v>71</v>
      </c>
      <c r="D2" s="5" t="s">
        <v>73</v>
      </c>
      <c r="E2" s="5" t="s">
        <v>74</v>
      </c>
      <c r="F2" s="5" t="s">
        <v>616</v>
      </c>
      <c r="G2" s="5" t="s">
        <v>615</v>
      </c>
      <c r="H2" s="16" t="s">
        <v>617</v>
      </c>
    </row>
    <row r="3" spans="2:8" x14ac:dyDescent="0.3">
      <c r="B3" s="5" t="s">
        <v>76</v>
      </c>
      <c r="C3" s="5" t="s">
        <v>78</v>
      </c>
      <c r="D3" s="5" t="s">
        <v>416</v>
      </c>
      <c r="E3" s="5" t="s">
        <v>516</v>
      </c>
      <c r="F3" s="7" t="s">
        <v>89</v>
      </c>
      <c r="G3" s="15">
        <v>49</v>
      </c>
      <c r="H3" s="17">
        <v>222169570</v>
      </c>
    </row>
    <row r="4" spans="2:8" x14ac:dyDescent="0.3">
      <c r="B4" s="5" t="s">
        <v>81</v>
      </c>
      <c r="C4" s="5" t="s">
        <v>401</v>
      </c>
      <c r="D4" s="5" t="s">
        <v>417</v>
      </c>
      <c r="E4" s="5" t="s">
        <v>517</v>
      </c>
      <c r="F4" s="5" t="s">
        <v>82</v>
      </c>
      <c r="G4" s="5">
        <v>55</v>
      </c>
      <c r="H4" s="17" t="s">
        <v>316</v>
      </c>
    </row>
    <row r="5" spans="2:8" x14ac:dyDescent="0.3">
      <c r="B5" s="5" t="s">
        <v>84</v>
      </c>
      <c r="C5" s="5" t="s">
        <v>86</v>
      </c>
      <c r="D5" s="5" t="s">
        <v>418</v>
      </c>
      <c r="E5" s="5" t="s">
        <v>518</v>
      </c>
      <c r="F5" s="7" t="s">
        <v>85</v>
      </c>
      <c r="G5" s="15">
        <v>51</v>
      </c>
      <c r="H5" s="17">
        <v>158405173</v>
      </c>
    </row>
    <row r="6" spans="2:8" x14ac:dyDescent="0.3">
      <c r="B6" s="5" t="s">
        <v>88</v>
      </c>
      <c r="C6" s="5" t="s">
        <v>90</v>
      </c>
      <c r="D6" s="5" t="s">
        <v>419</v>
      </c>
      <c r="E6" s="5" t="s">
        <v>519</v>
      </c>
      <c r="F6" s="5" t="s">
        <v>89</v>
      </c>
      <c r="G6" s="5">
        <v>44</v>
      </c>
      <c r="H6" s="17" t="s">
        <v>316</v>
      </c>
    </row>
    <row r="7" spans="2:8" x14ac:dyDescent="0.3">
      <c r="B7" s="5" t="s">
        <v>88</v>
      </c>
      <c r="C7" s="5" t="s">
        <v>90</v>
      </c>
      <c r="D7" s="5" t="s">
        <v>419</v>
      </c>
      <c r="E7" s="5" t="s">
        <v>519</v>
      </c>
      <c r="F7" s="7" t="s">
        <v>85</v>
      </c>
      <c r="G7" s="15">
        <v>47</v>
      </c>
      <c r="H7" s="17" t="s">
        <v>316</v>
      </c>
    </row>
    <row r="8" spans="2:8" x14ac:dyDescent="0.3">
      <c r="B8" s="5" t="s">
        <v>93</v>
      </c>
      <c r="C8" s="5" t="s">
        <v>94</v>
      </c>
      <c r="D8" s="5" t="s">
        <v>420</v>
      </c>
      <c r="E8" s="5" t="s">
        <v>520</v>
      </c>
      <c r="F8" s="5" t="s">
        <v>85</v>
      </c>
      <c r="G8" s="5">
        <v>46</v>
      </c>
      <c r="H8" s="17">
        <v>193319956</v>
      </c>
    </row>
    <row r="9" spans="2:8" x14ac:dyDescent="0.3">
      <c r="B9" s="5" t="s">
        <v>96</v>
      </c>
      <c r="C9" s="5" t="s">
        <v>402</v>
      </c>
      <c r="D9" s="5" t="s">
        <v>421</v>
      </c>
      <c r="E9" s="5" t="s">
        <v>521</v>
      </c>
      <c r="F9" s="5" t="s">
        <v>85</v>
      </c>
      <c r="G9" s="5">
        <v>55</v>
      </c>
      <c r="H9" s="17">
        <v>131326915</v>
      </c>
    </row>
    <row r="10" spans="2:8" x14ac:dyDescent="0.3">
      <c r="B10" s="5" t="s">
        <v>100</v>
      </c>
      <c r="C10" s="5" t="s">
        <v>403</v>
      </c>
      <c r="D10" s="5" t="s">
        <v>422</v>
      </c>
      <c r="E10" s="5" t="s">
        <v>522</v>
      </c>
      <c r="F10" s="5" t="s">
        <v>85</v>
      </c>
      <c r="G10" s="5">
        <v>51</v>
      </c>
      <c r="H10" s="17">
        <v>92183872</v>
      </c>
    </row>
    <row r="11" spans="2:8" x14ac:dyDescent="0.3">
      <c r="B11" s="5" t="s">
        <v>103</v>
      </c>
      <c r="C11" s="5" t="s">
        <v>104</v>
      </c>
      <c r="D11" s="5" t="s">
        <v>423</v>
      </c>
      <c r="E11" s="5" t="s">
        <v>523</v>
      </c>
      <c r="F11" s="5" t="s">
        <v>85</v>
      </c>
      <c r="G11" s="5">
        <v>55</v>
      </c>
      <c r="H11" s="17">
        <v>77987324</v>
      </c>
    </row>
    <row r="12" spans="2:8" x14ac:dyDescent="0.3">
      <c r="B12" s="5" t="s">
        <v>107</v>
      </c>
      <c r="C12" s="5" t="s">
        <v>108</v>
      </c>
      <c r="D12" s="5" t="s">
        <v>424</v>
      </c>
      <c r="E12" s="5" t="s">
        <v>524</v>
      </c>
      <c r="F12" s="5" t="s">
        <v>85</v>
      </c>
      <c r="G12" s="5">
        <v>55</v>
      </c>
      <c r="H12" s="17">
        <v>162316306</v>
      </c>
    </row>
    <row r="13" spans="2:8" x14ac:dyDescent="0.3">
      <c r="B13" s="5" t="s">
        <v>103</v>
      </c>
      <c r="C13" s="5" t="s">
        <v>104</v>
      </c>
      <c r="D13" s="5" t="s">
        <v>423</v>
      </c>
      <c r="E13" s="5" t="s">
        <v>523</v>
      </c>
      <c r="F13" s="5" t="s">
        <v>85</v>
      </c>
      <c r="G13" s="5">
        <v>55</v>
      </c>
      <c r="H13" s="17">
        <v>77987324</v>
      </c>
    </row>
    <row r="14" spans="2:8" x14ac:dyDescent="0.3">
      <c r="B14" s="5" t="s">
        <v>110</v>
      </c>
      <c r="C14" s="5" t="s">
        <v>404</v>
      </c>
      <c r="D14" s="5" t="s">
        <v>425</v>
      </c>
      <c r="E14" s="5" t="s">
        <v>525</v>
      </c>
      <c r="F14" s="5" t="s">
        <v>82</v>
      </c>
      <c r="G14" s="5">
        <v>44</v>
      </c>
      <c r="H14" s="17">
        <v>230867743</v>
      </c>
    </row>
    <row r="15" spans="2:8" x14ac:dyDescent="0.3">
      <c r="B15" s="5" t="s">
        <v>112</v>
      </c>
      <c r="C15" s="5" t="s">
        <v>113</v>
      </c>
      <c r="D15" s="5" t="s">
        <v>426</v>
      </c>
      <c r="E15" s="5" t="s">
        <v>526</v>
      </c>
      <c r="F15" s="7" t="s">
        <v>85</v>
      </c>
      <c r="G15" s="15">
        <v>47</v>
      </c>
      <c r="H15" s="17" t="s">
        <v>316</v>
      </c>
    </row>
    <row r="16" spans="2:8" x14ac:dyDescent="0.3">
      <c r="B16" s="5" t="s">
        <v>114</v>
      </c>
      <c r="C16" s="5" t="s">
        <v>405</v>
      </c>
      <c r="D16" s="5" t="s">
        <v>427</v>
      </c>
      <c r="E16" s="5" t="s">
        <v>527</v>
      </c>
      <c r="F16" s="5" t="s">
        <v>82</v>
      </c>
      <c r="G16" s="5">
        <v>46</v>
      </c>
      <c r="H16" s="17">
        <v>237313424</v>
      </c>
    </row>
    <row r="17" spans="2:8" x14ac:dyDescent="0.3">
      <c r="B17" s="5" t="s">
        <v>118</v>
      </c>
      <c r="C17" s="5" t="s">
        <v>119</v>
      </c>
      <c r="D17" s="5" t="s">
        <v>428</v>
      </c>
      <c r="E17" s="5" t="s">
        <v>528</v>
      </c>
      <c r="F17" s="5" t="s">
        <v>85</v>
      </c>
      <c r="G17" s="5">
        <v>48</v>
      </c>
      <c r="H17" s="17">
        <v>202875348</v>
      </c>
    </row>
    <row r="18" spans="2:8" x14ac:dyDescent="0.3">
      <c r="B18" s="5" t="s">
        <v>118</v>
      </c>
      <c r="C18" s="5" t="s">
        <v>119</v>
      </c>
      <c r="D18" s="5" t="s">
        <v>428</v>
      </c>
      <c r="E18" s="5" t="s">
        <v>528</v>
      </c>
      <c r="F18" s="5" t="s">
        <v>85</v>
      </c>
      <c r="G18" s="5">
        <v>48</v>
      </c>
      <c r="H18" s="17">
        <v>202875348</v>
      </c>
    </row>
    <row r="19" spans="2:8" x14ac:dyDescent="0.3">
      <c r="B19" s="5" t="s">
        <v>122</v>
      </c>
      <c r="C19" s="5" t="s">
        <v>123</v>
      </c>
      <c r="D19" s="5" t="s">
        <v>429</v>
      </c>
      <c r="E19" s="5" t="s">
        <v>529</v>
      </c>
      <c r="F19" s="5" t="s">
        <v>85</v>
      </c>
      <c r="G19" s="5">
        <v>43</v>
      </c>
      <c r="H19" s="17">
        <v>229221231</v>
      </c>
    </row>
    <row r="20" spans="2:8" x14ac:dyDescent="0.3">
      <c r="B20" s="5" t="s">
        <v>122</v>
      </c>
      <c r="C20" s="5" t="s">
        <v>123</v>
      </c>
      <c r="D20" s="5" t="s">
        <v>429</v>
      </c>
      <c r="E20" s="5" t="s">
        <v>529</v>
      </c>
      <c r="F20" s="5" t="s">
        <v>85</v>
      </c>
      <c r="G20" s="5">
        <v>43</v>
      </c>
      <c r="H20" s="17">
        <v>229221231</v>
      </c>
    </row>
    <row r="21" spans="2:8" x14ac:dyDescent="0.3">
      <c r="B21" s="5" t="s">
        <v>126</v>
      </c>
      <c r="C21" s="5" t="s">
        <v>406</v>
      </c>
      <c r="D21" s="5" t="s">
        <v>430</v>
      </c>
      <c r="E21" s="5" t="s">
        <v>530</v>
      </c>
      <c r="F21" s="5" t="s">
        <v>82</v>
      </c>
      <c r="G21" s="5">
        <v>45</v>
      </c>
      <c r="H21" s="17">
        <v>156092813</v>
      </c>
    </row>
    <row r="22" spans="2:8" x14ac:dyDescent="0.3">
      <c r="B22" s="5" t="s">
        <v>128</v>
      </c>
      <c r="C22" s="5" t="s">
        <v>129</v>
      </c>
      <c r="D22" s="5" t="s">
        <v>431</v>
      </c>
      <c r="E22" s="5" t="s">
        <v>531</v>
      </c>
      <c r="F22" s="5" t="s">
        <v>85</v>
      </c>
      <c r="G22" s="5">
        <v>55</v>
      </c>
      <c r="H22" s="17">
        <v>79893461</v>
      </c>
    </row>
    <row r="23" spans="2:8" x14ac:dyDescent="0.3">
      <c r="B23" s="5" t="s">
        <v>130</v>
      </c>
      <c r="C23" s="5" t="s">
        <v>407</v>
      </c>
      <c r="D23" s="5" t="s">
        <v>432</v>
      </c>
      <c r="E23" s="5" t="s">
        <v>532</v>
      </c>
      <c r="F23" s="5" t="s">
        <v>85</v>
      </c>
      <c r="G23" s="5">
        <v>50</v>
      </c>
      <c r="H23" s="17" t="s">
        <v>316</v>
      </c>
    </row>
    <row r="24" spans="2:8" x14ac:dyDescent="0.3">
      <c r="B24" s="5" t="s">
        <v>126</v>
      </c>
      <c r="C24" s="5" t="s">
        <v>406</v>
      </c>
      <c r="D24" s="5" t="s">
        <v>430</v>
      </c>
      <c r="E24" s="5" t="s">
        <v>530</v>
      </c>
      <c r="F24" s="5" t="s">
        <v>399</v>
      </c>
      <c r="G24" s="5">
        <v>45</v>
      </c>
      <c r="H24" s="17">
        <v>156092813</v>
      </c>
    </row>
    <row r="25" spans="2:8" x14ac:dyDescent="0.3">
      <c r="B25" s="5" t="s">
        <v>134</v>
      </c>
      <c r="C25" s="5" t="s">
        <v>135</v>
      </c>
      <c r="D25" s="5" t="s">
        <v>433</v>
      </c>
      <c r="E25" s="5" t="s">
        <v>533</v>
      </c>
      <c r="F25" s="5" t="s">
        <v>85</v>
      </c>
      <c r="G25" s="5">
        <v>53</v>
      </c>
      <c r="H25" s="17">
        <v>49627874</v>
      </c>
    </row>
    <row r="26" spans="2:8" x14ac:dyDescent="0.3">
      <c r="B26" s="5" t="s">
        <v>136</v>
      </c>
      <c r="C26" s="5" t="s">
        <v>408</v>
      </c>
      <c r="D26" s="5" t="s">
        <v>434</v>
      </c>
      <c r="E26" s="5" t="s">
        <v>534</v>
      </c>
      <c r="F26" s="5" t="s">
        <v>82</v>
      </c>
      <c r="G26" s="5">
        <v>47</v>
      </c>
      <c r="H26" s="17">
        <v>46033809</v>
      </c>
    </row>
    <row r="27" spans="2:8" x14ac:dyDescent="0.3">
      <c r="B27" s="5" t="s">
        <v>138</v>
      </c>
      <c r="C27" s="5" t="s">
        <v>140</v>
      </c>
      <c r="D27" s="5" t="s">
        <v>435</v>
      </c>
      <c r="E27" s="5" t="s">
        <v>535</v>
      </c>
      <c r="F27" s="7" t="s">
        <v>139</v>
      </c>
      <c r="G27" s="15">
        <v>46</v>
      </c>
      <c r="H27" s="17">
        <v>81178289</v>
      </c>
    </row>
    <row r="28" spans="2:8" x14ac:dyDescent="0.3">
      <c r="B28" s="5" t="s">
        <v>142</v>
      </c>
      <c r="C28" s="5" t="s">
        <v>409</v>
      </c>
      <c r="D28" s="5" t="s">
        <v>436</v>
      </c>
      <c r="E28" s="5" t="s">
        <v>536</v>
      </c>
      <c r="F28" s="5" t="s">
        <v>85</v>
      </c>
      <c r="G28" s="5">
        <v>47</v>
      </c>
      <c r="H28" s="18">
        <v>221112600</v>
      </c>
    </row>
    <row r="29" spans="2:8" x14ac:dyDescent="0.3">
      <c r="B29" s="5" t="s">
        <v>144</v>
      </c>
      <c r="C29" s="5" t="s">
        <v>410</v>
      </c>
      <c r="D29" s="5" t="s">
        <v>437</v>
      </c>
      <c r="E29" s="5" t="s">
        <v>537</v>
      </c>
      <c r="F29" s="7" t="s">
        <v>145</v>
      </c>
      <c r="G29" s="15">
        <v>47</v>
      </c>
      <c r="H29" s="17">
        <v>248275055</v>
      </c>
    </row>
    <row r="30" spans="2:8" x14ac:dyDescent="0.3">
      <c r="B30" s="5" t="s">
        <v>147</v>
      </c>
      <c r="C30" s="5" t="s">
        <v>148</v>
      </c>
      <c r="D30" s="5" t="s">
        <v>438</v>
      </c>
      <c r="E30" s="5" t="s">
        <v>538</v>
      </c>
      <c r="F30" s="5" t="s">
        <v>89</v>
      </c>
      <c r="G30" s="5">
        <v>52</v>
      </c>
      <c r="H30" s="17">
        <v>104910812</v>
      </c>
    </row>
    <row r="31" spans="2:8" x14ac:dyDescent="0.3">
      <c r="B31" s="5" t="s">
        <v>150</v>
      </c>
      <c r="C31" s="5" t="s">
        <v>411</v>
      </c>
      <c r="D31" s="5" t="s">
        <v>439</v>
      </c>
      <c r="E31" s="5" t="s">
        <v>539</v>
      </c>
      <c r="F31" s="5" t="s">
        <v>85</v>
      </c>
      <c r="G31" s="5">
        <v>60</v>
      </c>
      <c r="H31" s="17">
        <v>127703805.99999999</v>
      </c>
    </row>
    <row r="32" spans="2:8" x14ac:dyDescent="0.3">
      <c r="B32" s="5" t="s">
        <v>153</v>
      </c>
      <c r="C32" s="5" t="s">
        <v>155</v>
      </c>
      <c r="D32" s="5" t="s">
        <v>440</v>
      </c>
      <c r="E32" s="5" t="s">
        <v>540</v>
      </c>
      <c r="F32" s="5" t="s">
        <v>400</v>
      </c>
      <c r="G32" s="5">
        <v>52</v>
      </c>
      <c r="H32" s="17">
        <v>160439975</v>
      </c>
    </row>
    <row r="33" spans="2:8" x14ac:dyDescent="0.3">
      <c r="B33" s="5" t="s">
        <v>156</v>
      </c>
      <c r="C33" s="5" t="s">
        <v>157</v>
      </c>
      <c r="D33" s="5" t="s">
        <v>441</v>
      </c>
      <c r="E33" s="5" t="s">
        <v>541</v>
      </c>
      <c r="F33" s="5" t="s">
        <v>89</v>
      </c>
      <c r="G33" s="5">
        <v>45</v>
      </c>
      <c r="H33" s="17">
        <v>42389012</v>
      </c>
    </row>
    <row r="34" spans="2:8" x14ac:dyDescent="0.3">
      <c r="B34" s="5" t="s">
        <v>158</v>
      </c>
      <c r="C34" s="5" t="s">
        <v>159</v>
      </c>
      <c r="D34" s="5" t="s">
        <v>442</v>
      </c>
      <c r="E34" s="5" t="s">
        <v>542</v>
      </c>
      <c r="F34" s="5" t="s">
        <v>85</v>
      </c>
      <c r="G34" s="5">
        <v>43</v>
      </c>
      <c r="H34" s="17">
        <v>203211917</v>
      </c>
    </row>
    <row r="35" spans="2:8" x14ac:dyDescent="0.3">
      <c r="B35" s="5" t="s">
        <v>160</v>
      </c>
      <c r="C35" s="5" t="s">
        <v>161</v>
      </c>
      <c r="D35" s="5" t="s">
        <v>443</v>
      </c>
      <c r="E35" s="5" t="s">
        <v>543</v>
      </c>
      <c r="F35" s="5" t="s">
        <v>82</v>
      </c>
      <c r="G35" s="5">
        <v>58</v>
      </c>
      <c r="H35" s="17">
        <v>195804281</v>
      </c>
    </row>
    <row r="36" spans="2:8" x14ac:dyDescent="0.3">
      <c r="B36" s="5" t="s">
        <v>163</v>
      </c>
      <c r="C36" s="5" t="s">
        <v>164</v>
      </c>
      <c r="D36" s="5" t="s">
        <v>444</v>
      </c>
      <c r="E36" s="5" t="s">
        <v>544</v>
      </c>
      <c r="F36" s="7" t="s">
        <v>145</v>
      </c>
      <c r="G36" s="15">
        <v>46</v>
      </c>
      <c r="H36" s="17">
        <v>237405842</v>
      </c>
    </row>
    <row r="37" spans="2:8" x14ac:dyDescent="0.3">
      <c r="B37" s="5" t="s">
        <v>165</v>
      </c>
      <c r="C37" s="5" t="s">
        <v>166</v>
      </c>
      <c r="D37" s="5" t="s">
        <v>445</v>
      </c>
      <c r="E37" s="5" t="s">
        <v>545</v>
      </c>
      <c r="F37" s="5" t="s">
        <v>85</v>
      </c>
      <c r="G37" s="5">
        <v>51</v>
      </c>
      <c r="H37" s="17">
        <v>84144849</v>
      </c>
    </row>
    <row r="38" spans="2:8" x14ac:dyDescent="0.3">
      <c r="B38" s="5" t="s">
        <v>167</v>
      </c>
      <c r="C38" s="5" t="s">
        <v>412</v>
      </c>
      <c r="D38" s="5" t="s">
        <v>446</v>
      </c>
      <c r="E38" s="5" t="s">
        <v>546</v>
      </c>
      <c r="F38" s="5" t="s">
        <v>82</v>
      </c>
      <c r="G38" s="5">
        <v>43</v>
      </c>
      <c r="H38" s="17">
        <v>122548714</v>
      </c>
    </row>
    <row r="39" spans="2:8" x14ac:dyDescent="0.3">
      <c r="B39" s="5" t="s">
        <v>169</v>
      </c>
      <c r="C39" s="5" t="s">
        <v>413</v>
      </c>
      <c r="D39" s="5" t="s">
        <v>447</v>
      </c>
      <c r="E39" s="5" t="s">
        <v>547</v>
      </c>
      <c r="F39" s="5" t="s">
        <v>82</v>
      </c>
      <c r="G39" s="5">
        <v>53</v>
      </c>
      <c r="H39" s="17">
        <v>94959493</v>
      </c>
    </row>
    <row r="40" spans="2:8" x14ac:dyDescent="0.3">
      <c r="B40" s="5" t="s">
        <v>171</v>
      </c>
      <c r="C40" s="5" t="s">
        <v>172</v>
      </c>
      <c r="D40" s="5" t="s">
        <v>448</v>
      </c>
      <c r="E40" s="5" t="s">
        <v>548</v>
      </c>
      <c r="F40" s="5" t="s">
        <v>145</v>
      </c>
      <c r="G40" s="5">
        <v>46</v>
      </c>
      <c r="H40" s="17">
        <v>76242361</v>
      </c>
    </row>
    <row r="41" spans="2:8" x14ac:dyDescent="0.3">
      <c r="B41" s="5" t="s">
        <v>173</v>
      </c>
      <c r="C41" s="5" t="s">
        <v>174</v>
      </c>
      <c r="D41" s="5" t="s">
        <v>449</v>
      </c>
      <c r="E41" s="5" t="s">
        <v>549</v>
      </c>
      <c r="F41" s="5" t="s">
        <v>82</v>
      </c>
      <c r="G41" s="5">
        <v>60</v>
      </c>
      <c r="H41" s="17">
        <v>143029032</v>
      </c>
    </row>
    <row r="42" spans="2:8" x14ac:dyDescent="0.3">
      <c r="B42" s="5" t="s">
        <v>175</v>
      </c>
      <c r="C42" s="5" t="s">
        <v>176</v>
      </c>
      <c r="D42" s="5" t="s">
        <v>450</v>
      </c>
      <c r="E42" s="5" t="s">
        <v>550</v>
      </c>
      <c r="F42" s="5" t="s">
        <v>85</v>
      </c>
      <c r="G42" s="5">
        <v>53</v>
      </c>
      <c r="H42" s="17">
        <v>97462096</v>
      </c>
    </row>
    <row r="43" spans="2:8" x14ac:dyDescent="0.3">
      <c r="B43" s="5" t="s">
        <v>177</v>
      </c>
      <c r="C43" s="5" t="s">
        <v>178</v>
      </c>
      <c r="D43" s="5" t="s">
        <v>451</v>
      </c>
      <c r="E43" s="5" t="s">
        <v>551</v>
      </c>
      <c r="F43" s="5" t="s">
        <v>85</v>
      </c>
      <c r="G43" s="5">
        <v>51</v>
      </c>
      <c r="H43" s="17" t="s">
        <v>316</v>
      </c>
    </row>
    <row r="44" spans="2:8" x14ac:dyDescent="0.3">
      <c r="B44" s="5" t="s">
        <v>179</v>
      </c>
      <c r="C44" s="5" t="s">
        <v>180</v>
      </c>
      <c r="D44" s="5" t="s">
        <v>452</v>
      </c>
      <c r="E44" s="5" t="s">
        <v>552</v>
      </c>
      <c r="F44" s="5" t="s">
        <v>85</v>
      </c>
      <c r="G44" s="5">
        <v>54</v>
      </c>
      <c r="H44" s="17">
        <v>221187886</v>
      </c>
    </row>
    <row r="45" spans="2:8" x14ac:dyDescent="0.3">
      <c r="B45" s="5" t="s">
        <v>181</v>
      </c>
      <c r="C45" s="5" t="s">
        <v>182</v>
      </c>
      <c r="D45" s="5" t="s">
        <v>453</v>
      </c>
      <c r="E45" s="5" t="s">
        <v>553</v>
      </c>
      <c r="F45" s="5" t="s">
        <v>145</v>
      </c>
      <c r="G45" s="5">
        <v>49</v>
      </c>
      <c r="H45" s="17">
        <v>197729528</v>
      </c>
    </row>
    <row r="46" spans="2:8" x14ac:dyDescent="0.3">
      <c r="B46" s="5" t="s">
        <v>184</v>
      </c>
      <c r="C46" s="5" t="s">
        <v>185</v>
      </c>
      <c r="D46" s="5" t="s">
        <v>454</v>
      </c>
      <c r="E46" s="5" t="s">
        <v>554</v>
      </c>
      <c r="F46" s="5" t="s">
        <v>85</v>
      </c>
      <c r="G46" s="5">
        <v>46</v>
      </c>
      <c r="H46" s="17">
        <v>202702666</v>
      </c>
    </row>
    <row r="47" spans="2:8" x14ac:dyDescent="0.3">
      <c r="B47" s="5" t="s">
        <v>186</v>
      </c>
      <c r="C47" s="5" t="s">
        <v>187</v>
      </c>
      <c r="D47" s="5" t="s">
        <v>455</v>
      </c>
      <c r="E47" s="5" t="s">
        <v>555</v>
      </c>
      <c r="F47" s="7" t="s">
        <v>145</v>
      </c>
      <c r="G47" s="15">
        <v>46</v>
      </c>
      <c r="H47" s="17">
        <v>246294967</v>
      </c>
    </row>
    <row r="48" spans="2:8" x14ac:dyDescent="0.3">
      <c r="B48" s="5" t="s">
        <v>189</v>
      </c>
      <c r="C48" s="5" t="s">
        <v>190</v>
      </c>
      <c r="D48" s="5" t="s">
        <v>456</v>
      </c>
      <c r="E48" s="5" t="s">
        <v>556</v>
      </c>
      <c r="F48" s="5" t="s">
        <v>145</v>
      </c>
      <c r="G48" s="5">
        <v>56</v>
      </c>
      <c r="H48" s="17">
        <v>92123449</v>
      </c>
    </row>
    <row r="49" spans="2:8" x14ac:dyDescent="0.3">
      <c r="B49" s="5" t="s">
        <v>191</v>
      </c>
      <c r="C49" s="5" t="s">
        <v>192</v>
      </c>
      <c r="D49" s="5" t="s">
        <v>457</v>
      </c>
      <c r="E49" s="5" t="s">
        <v>557</v>
      </c>
      <c r="F49" s="5" t="s">
        <v>145</v>
      </c>
      <c r="G49" s="5">
        <v>52</v>
      </c>
      <c r="H49" s="17">
        <v>228655992</v>
      </c>
    </row>
    <row r="50" spans="2:8" x14ac:dyDescent="0.3">
      <c r="B50" s="5" t="s">
        <v>193</v>
      </c>
      <c r="C50" s="5" t="s">
        <v>414</v>
      </c>
      <c r="D50" s="5" t="s">
        <v>458</v>
      </c>
      <c r="E50" s="5" t="s">
        <v>558</v>
      </c>
      <c r="F50" s="5" t="s">
        <v>85</v>
      </c>
      <c r="G50" s="5">
        <v>50</v>
      </c>
      <c r="H50" s="17">
        <v>200468818</v>
      </c>
    </row>
    <row r="51" spans="2:8" x14ac:dyDescent="0.3">
      <c r="B51" s="5" t="s">
        <v>195</v>
      </c>
      <c r="C51" s="5" t="s">
        <v>196</v>
      </c>
      <c r="D51" s="5" t="s">
        <v>459</v>
      </c>
      <c r="E51" s="5" t="s">
        <v>559</v>
      </c>
      <c r="F51" s="5" t="s">
        <v>82</v>
      </c>
      <c r="G51" s="5">
        <v>56</v>
      </c>
      <c r="H51" s="17">
        <v>172546034</v>
      </c>
    </row>
    <row r="52" spans="2:8" x14ac:dyDescent="0.3">
      <c r="B52" s="5" t="s">
        <v>197</v>
      </c>
      <c r="C52" s="5" t="s">
        <v>198</v>
      </c>
      <c r="D52" s="5" t="s">
        <v>460</v>
      </c>
      <c r="E52" s="5" t="s">
        <v>560</v>
      </c>
      <c r="F52" s="5" t="s">
        <v>85</v>
      </c>
      <c r="G52" s="5">
        <v>56</v>
      </c>
      <c r="H52" s="17">
        <v>131303325.99999999</v>
      </c>
    </row>
    <row r="53" spans="2:8" x14ac:dyDescent="0.3">
      <c r="B53" s="5" t="s">
        <v>199</v>
      </c>
      <c r="C53" s="5" t="s">
        <v>200</v>
      </c>
      <c r="D53" s="5" t="s">
        <v>461</v>
      </c>
      <c r="E53" s="5" t="s">
        <v>561</v>
      </c>
      <c r="F53" s="5" t="s">
        <v>85</v>
      </c>
      <c r="G53" s="5">
        <v>58</v>
      </c>
      <c r="H53" s="17">
        <v>81303106</v>
      </c>
    </row>
    <row r="54" spans="2:8" x14ac:dyDescent="0.3">
      <c r="B54" s="5" t="s">
        <v>201</v>
      </c>
      <c r="C54" s="5" t="s">
        <v>202</v>
      </c>
      <c r="D54" s="5" t="s">
        <v>462</v>
      </c>
      <c r="E54" s="5" t="s">
        <v>562</v>
      </c>
      <c r="F54" s="5" t="s">
        <v>82</v>
      </c>
      <c r="G54" s="5">
        <v>51</v>
      </c>
      <c r="H54" s="17">
        <v>223668208</v>
      </c>
    </row>
    <row r="55" spans="2:8" x14ac:dyDescent="0.3">
      <c r="B55" s="5" t="s">
        <v>204</v>
      </c>
      <c r="C55" s="5" t="s">
        <v>205</v>
      </c>
      <c r="D55" s="5" t="s">
        <v>463</v>
      </c>
      <c r="E55" s="5" t="s">
        <v>563</v>
      </c>
      <c r="F55" s="5" t="s">
        <v>85</v>
      </c>
      <c r="G55" s="5">
        <v>47</v>
      </c>
      <c r="H55" s="17">
        <v>86942465</v>
      </c>
    </row>
    <row r="56" spans="2:8" x14ac:dyDescent="0.3">
      <c r="B56" s="5" t="s">
        <v>206</v>
      </c>
      <c r="C56" s="5" t="s">
        <v>207</v>
      </c>
      <c r="D56" s="5" t="s">
        <v>464</v>
      </c>
      <c r="E56" s="5" t="s">
        <v>564</v>
      </c>
      <c r="F56" s="5" t="s">
        <v>85</v>
      </c>
      <c r="G56" s="5">
        <v>52</v>
      </c>
      <c r="H56" s="17">
        <v>231123268</v>
      </c>
    </row>
    <row r="57" spans="2:8" x14ac:dyDescent="0.3">
      <c r="B57" s="5" t="s">
        <v>209</v>
      </c>
      <c r="C57" s="5" t="s">
        <v>210</v>
      </c>
      <c r="D57" s="5" t="s">
        <v>465</v>
      </c>
      <c r="E57" s="5" t="s">
        <v>565</v>
      </c>
      <c r="F57" s="5" t="s">
        <v>89</v>
      </c>
      <c r="G57" s="5">
        <v>60</v>
      </c>
      <c r="H57" s="17">
        <v>117998710</v>
      </c>
    </row>
    <row r="58" spans="2:8" x14ac:dyDescent="0.3">
      <c r="B58" s="5" t="s">
        <v>211</v>
      </c>
      <c r="C58" s="5" t="s">
        <v>212</v>
      </c>
      <c r="D58" s="5" t="s">
        <v>466</v>
      </c>
      <c r="E58" s="5" t="s">
        <v>566</v>
      </c>
      <c r="F58" s="5" t="s">
        <v>82</v>
      </c>
      <c r="G58" s="5">
        <v>45</v>
      </c>
      <c r="H58" s="17">
        <v>236886314</v>
      </c>
    </row>
    <row r="59" spans="2:8" x14ac:dyDescent="0.3">
      <c r="B59" s="5" t="s">
        <v>213</v>
      </c>
      <c r="C59" s="5" t="s">
        <v>214</v>
      </c>
      <c r="D59" s="5" t="s">
        <v>467</v>
      </c>
      <c r="E59" s="5" t="s">
        <v>567</v>
      </c>
      <c r="F59" s="5" t="s">
        <v>82</v>
      </c>
      <c r="G59" s="5">
        <v>49</v>
      </c>
      <c r="H59" s="17">
        <v>133966105</v>
      </c>
    </row>
    <row r="60" spans="2:8" x14ac:dyDescent="0.3">
      <c r="B60" s="5" t="s">
        <v>216</v>
      </c>
      <c r="C60" s="5" t="s">
        <v>217</v>
      </c>
      <c r="D60" s="5" t="s">
        <v>468</v>
      </c>
      <c r="E60" s="5" t="s">
        <v>568</v>
      </c>
      <c r="F60" s="5" t="s">
        <v>82</v>
      </c>
      <c r="G60" s="5">
        <v>46</v>
      </c>
      <c r="H60" s="17">
        <v>62628514</v>
      </c>
    </row>
    <row r="61" spans="2:8" x14ac:dyDescent="0.3">
      <c r="B61" s="5" t="s">
        <v>219</v>
      </c>
      <c r="C61" s="5" t="s">
        <v>220</v>
      </c>
      <c r="D61" s="5" t="s">
        <v>469</v>
      </c>
      <c r="E61" s="5" t="s">
        <v>569</v>
      </c>
      <c r="F61" s="5" t="s">
        <v>82</v>
      </c>
      <c r="G61" s="5">
        <v>58</v>
      </c>
      <c r="H61" s="17">
        <v>89642724</v>
      </c>
    </row>
    <row r="62" spans="2:8" x14ac:dyDescent="0.3">
      <c r="B62" s="5" t="s">
        <v>221</v>
      </c>
      <c r="C62" s="5" t="s">
        <v>222</v>
      </c>
      <c r="D62" s="5" t="s">
        <v>470</v>
      </c>
      <c r="E62" s="5" t="s">
        <v>570</v>
      </c>
      <c r="F62" s="5" t="s">
        <v>89</v>
      </c>
      <c r="G62" s="5">
        <v>56</v>
      </c>
      <c r="H62" s="17">
        <v>164514847</v>
      </c>
    </row>
    <row r="63" spans="2:8" x14ac:dyDescent="0.3">
      <c r="B63" s="5" t="s">
        <v>223</v>
      </c>
      <c r="C63" s="5" t="s">
        <v>224</v>
      </c>
      <c r="D63" s="5" t="s">
        <v>471</v>
      </c>
      <c r="E63" s="5" t="s">
        <v>571</v>
      </c>
      <c r="F63" s="7" t="s">
        <v>85</v>
      </c>
      <c r="G63" s="15">
        <v>46</v>
      </c>
      <c r="H63" s="17">
        <v>38570230</v>
      </c>
    </row>
    <row r="64" spans="2:8" x14ac:dyDescent="0.3">
      <c r="B64" s="5" t="s">
        <v>225</v>
      </c>
      <c r="C64" s="5" t="s">
        <v>226</v>
      </c>
      <c r="D64" s="5" t="s">
        <v>472</v>
      </c>
      <c r="E64" s="5" t="s">
        <v>572</v>
      </c>
      <c r="F64" s="5" t="s">
        <v>89</v>
      </c>
      <c r="G64" s="5">
        <v>60</v>
      </c>
      <c r="H64" s="17">
        <v>48742964</v>
      </c>
    </row>
    <row r="65" spans="2:8" x14ac:dyDescent="0.3">
      <c r="B65" s="5" t="s">
        <v>227</v>
      </c>
      <c r="C65" s="5" t="s">
        <v>228</v>
      </c>
      <c r="D65" s="5" t="s">
        <v>473</v>
      </c>
      <c r="E65" s="5" t="s">
        <v>573</v>
      </c>
      <c r="F65" s="5" t="s">
        <v>85</v>
      </c>
      <c r="G65" s="5">
        <v>55</v>
      </c>
      <c r="H65" s="17">
        <v>100238635</v>
      </c>
    </row>
    <row r="66" spans="2:8" x14ac:dyDescent="0.3">
      <c r="B66" s="5" t="s">
        <v>229</v>
      </c>
      <c r="C66" s="5" t="s">
        <v>230</v>
      </c>
      <c r="D66" s="5" t="s">
        <v>474</v>
      </c>
      <c r="E66" s="5" t="s">
        <v>574</v>
      </c>
      <c r="F66" s="5" t="s">
        <v>82</v>
      </c>
      <c r="G66" s="5">
        <v>55</v>
      </c>
      <c r="H66" s="17">
        <v>48752907</v>
      </c>
    </row>
    <row r="67" spans="2:8" x14ac:dyDescent="0.3">
      <c r="B67" s="5" t="s">
        <v>231</v>
      </c>
      <c r="C67" s="5" t="s">
        <v>232</v>
      </c>
      <c r="D67" s="5" t="s">
        <v>475</v>
      </c>
      <c r="E67" s="5" t="s">
        <v>575</v>
      </c>
      <c r="F67" s="5" t="s">
        <v>82</v>
      </c>
      <c r="G67" s="5">
        <v>55</v>
      </c>
      <c r="H67" s="17">
        <v>166960957</v>
      </c>
    </row>
    <row r="68" spans="2:8" x14ac:dyDescent="0.3">
      <c r="B68" s="5" t="s">
        <v>233</v>
      </c>
      <c r="C68" s="5" t="s">
        <v>234</v>
      </c>
      <c r="D68" s="5" t="s">
        <v>476</v>
      </c>
      <c r="E68" s="5" t="s">
        <v>576</v>
      </c>
      <c r="F68" s="5" t="s">
        <v>82</v>
      </c>
      <c r="G68" s="5">
        <v>53</v>
      </c>
      <c r="H68" s="17">
        <v>162041458</v>
      </c>
    </row>
    <row r="69" spans="2:8" x14ac:dyDescent="0.3">
      <c r="B69" s="5" t="s">
        <v>236</v>
      </c>
      <c r="C69" s="5" t="s">
        <v>237</v>
      </c>
      <c r="D69" s="5" t="s">
        <v>477</v>
      </c>
      <c r="E69" s="5" t="s">
        <v>577</v>
      </c>
      <c r="F69" s="5" t="s">
        <v>82</v>
      </c>
      <c r="G69" s="5">
        <v>47</v>
      </c>
      <c r="H69" s="17">
        <v>181882527</v>
      </c>
    </row>
    <row r="70" spans="2:8" x14ac:dyDescent="0.3">
      <c r="B70" s="5" t="s">
        <v>238</v>
      </c>
      <c r="C70" s="5" t="s">
        <v>239</v>
      </c>
      <c r="D70" s="5" t="s">
        <v>478</v>
      </c>
      <c r="E70" s="5" t="s">
        <v>578</v>
      </c>
      <c r="F70" s="5" t="s">
        <v>145</v>
      </c>
      <c r="G70" s="5">
        <v>44</v>
      </c>
      <c r="H70" s="17">
        <v>135976014</v>
      </c>
    </row>
    <row r="71" spans="2:8" x14ac:dyDescent="0.3">
      <c r="B71" s="5" t="s">
        <v>240</v>
      </c>
      <c r="C71" s="5" t="s">
        <v>241</v>
      </c>
      <c r="D71" s="5" t="s">
        <v>479</v>
      </c>
      <c r="E71" s="5" t="s">
        <v>579</v>
      </c>
      <c r="F71" s="5" t="s">
        <v>85</v>
      </c>
      <c r="G71" s="5">
        <v>52</v>
      </c>
      <c r="H71" s="17">
        <v>212296692</v>
      </c>
    </row>
    <row r="72" spans="2:8" x14ac:dyDescent="0.3">
      <c r="B72" s="5" t="s">
        <v>242</v>
      </c>
      <c r="C72" s="5" t="s">
        <v>243</v>
      </c>
      <c r="D72" s="5" t="s">
        <v>480</v>
      </c>
      <c r="E72" s="5" t="s">
        <v>580</v>
      </c>
      <c r="F72" s="5" t="s">
        <v>145</v>
      </c>
      <c r="G72" s="5">
        <v>57</v>
      </c>
      <c r="H72" s="17">
        <v>117885197</v>
      </c>
    </row>
    <row r="73" spans="2:8" x14ac:dyDescent="0.3">
      <c r="B73" s="5" t="s">
        <v>244</v>
      </c>
      <c r="C73" s="5" t="s">
        <v>245</v>
      </c>
      <c r="D73" s="5" t="s">
        <v>481</v>
      </c>
      <c r="E73" s="5" t="s">
        <v>581</v>
      </c>
      <c r="F73" s="5" t="s">
        <v>89</v>
      </c>
      <c r="G73" s="5">
        <v>55</v>
      </c>
      <c r="H73" s="17">
        <v>185498854</v>
      </c>
    </row>
    <row r="74" spans="2:8" x14ac:dyDescent="0.3">
      <c r="B74" s="5" t="s">
        <v>246</v>
      </c>
      <c r="C74" s="5" t="s">
        <v>247</v>
      </c>
      <c r="D74" s="5" t="s">
        <v>482</v>
      </c>
      <c r="E74" s="5" t="s">
        <v>582</v>
      </c>
      <c r="F74" s="5" t="s">
        <v>145</v>
      </c>
      <c r="G74" s="5">
        <v>58</v>
      </c>
      <c r="H74" s="17">
        <v>158235670</v>
      </c>
    </row>
    <row r="75" spans="2:8" x14ac:dyDescent="0.3">
      <c r="B75" s="5" t="s">
        <v>248</v>
      </c>
      <c r="C75" s="5" t="s">
        <v>249</v>
      </c>
      <c r="D75" s="5" t="s">
        <v>483</v>
      </c>
      <c r="E75" s="5" t="s">
        <v>583</v>
      </c>
      <c r="F75" s="5" t="s">
        <v>82</v>
      </c>
      <c r="G75" s="5">
        <v>43</v>
      </c>
      <c r="H75" s="17">
        <v>96513659</v>
      </c>
    </row>
    <row r="76" spans="2:8" x14ac:dyDescent="0.3">
      <c r="B76" s="5" t="s">
        <v>250</v>
      </c>
      <c r="C76" s="5" t="s">
        <v>415</v>
      </c>
      <c r="D76" s="5" t="s">
        <v>484</v>
      </c>
      <c r="E76" s="5" t="s">
        <v>584</v>
      </c>
      <c r="F76" s="5" t="s">
        <v>89</v>
      </c>
      <c r="G76" s="5">
        <v>60</v>
      </c>
      <c r="H76" s="17">
        <v>134302721</v>
      </c>
    </row>
    <row r="77" spans="2:8" x14ac:dyDescent="0.3">
      <c r="B77" s="5" t="s">
        <v>252</v>
      </c>
      <c r="C77" s="5" t="s">
        <v>253</v>
      </c>
      <c r="D77" s="5" t="s">
        <v>485</v>
      </c>
      <c r="E77" s="5" t="s">
        <v>585</v>
      </c>
      <c r="F77" s="7" t="s">
        <v>85</v>
      </c>
      <c r="G77" s="15">
        <v>46</v>
      </c>
      <c r="H77" s="17">
        <v>83590175</v>
      </c>
    </row>
    <row r="78" spans="2:8" x14ac:dyDescent="0.3">
      <c r="B78" s="5" t="s">
        <v>254</v>
      </c>
      <c r="C78" s="5" t="s">
        <v>255</v>
      </c>
      <c r="D78" s="5" t="s">
        <v>486</v>
      </c>
      <c r="E78" s="5" t="s">
        <v>586</v>
      </c>
      <c r="F78" s="5" t="s">
        <v>85</v>
      </c>
      <c r="G78" s="5">
        <v>47</v>
      </c>
      <c r="H78" s="17">
        <v>107864247</v>
      </c>
    </row>
    <row r="79" spans="2:8" x14ac:dyDescent="0.3">
      <c r="B79" s="5" t="s">
        <v>256</v>
      </c>
      <c r="C79" s="5" t="s">
        <v>257</v>
      </c>
      <c r="D79" s="5" t="s">
        <v>487</v>
      </c>
      <c r="E79" s="5" t="s">
        <v>587</v>
      </c>
      <c r="F79" s="5" t="s">
        <v>85</v>
      </c>
      <c r="G79" s="5">
        <v>60</v>
      </c>
      <c r="H79" s="17">
        <v>155903146</v>
      </c>
    </row>
    <row r="80" spans="2:8" x14ac:dyDescent="0.3">
      <c r="B80" s="5" t="s">
        <v>258</v>
      </c>
      <c r="C80" s="5" t="s">
        <v>259</v>
      </c>
      <c r="D80" s="5" t="s">
        <v>488</v>
      </c>
      <c r="E80" s="5" t="s">
        <v>588</v>
      </c>
      <c r="F80" s="5" t="s">
        <v>145</v>
      </c>
      <c r="G80" s="5">
        <v>60</v>
      </c>
      <c r="H80" s="17">
        <v>46856245</v>
      </c>
    </row>
    <row r="81" spans="2:8" x14ac:dyDescent="0.3">
      <c r="B81" s="5" t="s">
        <v>260</v>
      </c>
      <c r="C81" s="5" t="s">
        <v>261</v>
      </c>
      <c r="D81" s="5" t="s">
        <v>489</v>
      </c>
      <c r="E81" s="5" t="s">
        <v>589</v>
      </c>
      <c r="F81" s="5" t="s">
        <v>85</v>
      </c>
      <c r="G81" s="5">
        <v>45</v>
      </c>
      <c r="H81" s="17">
        <v>109447245</v>
      </c>
    </row>
    <row r="82" spans="2:8" x14ac:dyDescent="0.3">
      <c r="B82" s="5" t="s">
        <v>262</v>
      </c>
      <c r="C82" s="5" t="s">
        <v>263</v>
      </c>
      <c r="D82" s="5" t="s">
        <v>490</v>
      </c>
      <c r="E82" s="5" t="s">
        <v>590</v>
      </c>
      <c r="F82" s="5" t="s">
        <v>89</v>
      </c>
      <c r="G82" s="5">
        <v>58</v>
      </c>
      <c r="H82" s="17">
        <v>179601393</v>
      </c>
    </row>
    <row r="83" spans="2:8" x14ac:dyDescent="0.3">
      <c r="B83" s="5" t="s">
        <v>264</v>
      </c>
      <c r="C83" s="5" t="s">
        <v>265</v>
      </c>
      <c r="D83" s="5" t="s">
        <v>491</v>
      </c>
      <c r="E83" s="5" t="s">
        <v>591</v>
      </c>
      <c r="F83" s="5" t="s">
        <v>85</v>
      </c>
      <c r="G83" s="5">
        <v>48</v>
      </c>
      <c r="H83" s="17">
        <v>73646984</v>
      </c>
    </row>
    <row r="84" spans="2:8" x14ac:dyDescent="0.3">
      <c r="B84" s="5" t="s">
        <v>266</v>
      </c>
      <c r="C84" s="5" t="s">
        <v>267</v>
      </c>
      <c r="D84" s="5" t="s">
        <v>492</v>
      </c>
      <c r="E84" s="5" t="s">
        <v>592</v>
      </c>
      <c r="F84" s="5" t="s">
        <v>85</v>
      </c>
      <c r="G84" s="5">
        <v>56</v>
      </c>
      <c r="H84" s="17">
        <v>35729756</v>
      </c>
    </row>
    <row r="85" spans="2:8" x14ac:dyDescent="0.3">
      <c r="B85" s="5" t="s">
        <v>268</v>
      </c>
      <c r="C85" s="5" t="s">
        <v>269</v>
      </c>
      <c r="D85" s="5" t="s">
        <v>493</v>
      </c>
      <c r="E85" s="5" t="s">
        <v>593</v>
      </c>
      <c r="F85" s="5" t="s">
        <v>82</v>
      </c>
      <c r="G85" s="5">
        <v>43</v>
      </c>
      <c r="H85" s="17">
        <v>97634265</v>
      </c>
    </row>
    <row r="86" spans="2:8" x14ac:dyDescent="0.3">
      <c r="B86" s="5" t="s">
        <v>270</v>
      </c>
      <c r="C86" s="5" t="s">
        <v>271</v>
      </c>
      <c r="D86" s="5" t="s">
        <v>494</v>
      </c>
      <c r="E86" s="5" t="s">
        <v>594</v>
      </c>
      <c r="F86" s="7" t="s">
        <v>85</v>
      </c>
      <c r="G86" s="15">
        <v>46</v>
      </c>
      <c r="H86" s="17">
        <v>139224256</v>
      </c>
    </row>
    <row r="87" spans="2:8" x14ac:dyDescent="0.3">
      <c r="B87" s="5" t="s">
        <v>272</v>
      </c>
      <c r="C87" s="5" t="s">
        <v>273</v>
      </c>
      <c r="D87" s="5" t="s">
        <v>495</v>
      </c>
      <c r="E87" s="5" t="s">
        <v>595</v>
      </c>
      <c r="F87" s="5" t="s">
        <v>82</v>
      </c>
      <c r="G87" s="5">
        <v>52</v>
      </c>
      <c r="H87" s="17">
        <v>51659784</v>
      </c>
    </row>
    <row r="88" spans="2:8" x14ac:dyDescent="0.3">
      <c r="B88" s="5" t="s">
        <v>274</v>
      </c>
      <c r="C88" s="5" t="s">
        <v>275</v>
      </c>
      <c r="D88" s="5" t="s">
        <v>496</v>
      </c>
      <c r="E88" s="5" t="s">
        <v>596</v>
      </c>
      <c r="F88" s="5" t="s">
        <v>82</v>
      </c>
      <c r="G88" s="5">
        <v>53</v>
      </c>
      <c r="H88" s="17">
        <v>168695644</v>
      </c>
    </row>
    <row r="89" spans="2:8" x14ac:dyDescent="0.3">
      <c r="B89" s="5" t="s">
        <v>276</v>
      </c>
      <c r="C89" s="5" t="s">
        <v>277</v>
      </c>
      <c r="D89" s="5" t="s">
        <v>497</v>
      </c>
      <c r="E89" s="5" t="s">
        <v>597</v>
      </c>
      <c r="F89" s="5" t="s">
        <v>145</v>
      </c>
      <c r="G89" s="5">
        <v>43</v>
      </c>
      <c r="H89" s="17">
        <v>214869861</v>
      </c>
    </row>
    <row r="90" spans="2:8" x14ac:dyDescent="0.3">
      <c r="B90" s="5" t="s">
        <v>278</v>
      </c>
      <c r="C90" s="5" t="s">
        <v>279</v>
      </c>
      <c r="D90" s="5" t="s">
        <v>498</v>
      </c>
      <c r="E90" s="5" t="s">
        <v>598</v>
      </c>
      <c r="F90" s="5" t="s">
        <v>85</v>
      </c>
      <c r="G90" s="5">
        <v>44</v>
      </c>
      <c r="H90" s="17">
        <v>128122477</v>
      </c>
    </row>
    <row r="91" spans="2:8" x14ac:dyDescent="0.3">
      <c r="B91" s="5" t="s">
        <v>280</v>
      </c>
      <c r="C91" s="5" t="s">
        <v>281</v>
      </c>
      <c r="D91" s="5" t="s">
        <v>499</v>
      </c>
      <c r="E91" s="5" t="s">
        <v>599</v>
      </c>
      <c r="F91" s="5" t="s">
        <v>89</v>
      </c>
      <c r="G91" s="5">
        <v>45</v>
      </c>
      <c r="H91" s="17">
        <v>62306665</v>
      </c>
    </row>
    <row r="92" spans="2:8" x14ac:dyDescent="0.3">
      <c r="B92" s="5" t="s">
        <v>282</v>
      </c>
      <c r="C92" s="5" t="s">
        <v>283</v>
      </c>
      <c r="D92" s="5" t="s">
        <v>500</v>
      </c>
      <c r="E92" s="5" t="s">
        <v>600</v>
      </c>
      <c r="F92" s="5" t="s">
        <v>145</v>
      </c>
      <c r="G92" s="5">
        <v>50</v>
      </c>
      <c r="H92" s="17">
        <v>46981074</v>
      </c>
    </row>
    <row r="93" spans="2:8" x14ac:dyDescent="0.3">
      <c r="B93" s="5" t="s">
        <v>274</v>
      </c>
      <c r="C93" s="5" t="s">
        <v>275</v>
      </c>
      <c r="D93" s="5" t="s">
        <v>496</v>
      </c>
      <c r="E93" s="5" t="s">
        <v>596</v>
      </c>
      <c r="F93" s="5" t="s">
        <v>82</v>
      </c>
      <c r="G93" s="5">
        <v>53</v>
      </c>
      <c r="H93" s="17">
        <v>168695644</v>
      </c>
    </row>
    <row r="94" spans="2:8" x14ac:dyDescent="0.3">
      <c r="B94" s="5" t="s">
        <v>276</v>
      </c>
      <c r="C94" s="5" t="s">
        <v>277</v>
      </c>
      <c r="D94" s="5" t="s">
        <v>497</v>
      </c>
      <c r="E94" s="5" t="s">
        <v>597</v>
      </c>
      <c r="F94" s="5" t="s">
        <v>145</v>
      </c>
      <c r="G94" s="5">
        <v>43</v>
      </c>
      <c r="H94" s="17">
        <v>214869861</v>
      </c>
    </row>
    <row r="95" spans="2:8" x14ac:dyDescent="0.3">
      <c r="B95" s="5" t="s">
        <v>278</v>
      </c>
      <c r="C95" s="5" t="s">
        <v>279</v>
      </c>
      <c r="D95" s="5" t="s">
        <v>498</v>
      </c>
      <c r="E95" s="5" t="s">
        <v>598</v>
      </c>
      <c r="F95" s="5" t="s">
        <v>85</v>
      </c>
      <c r="G95" s="5">
        <v>44</v>
      </c>
      <c r="H95" s="17">
        <v>128122477</v>
      </c>
    </row>
    <row r="96" spans="2:8" x14ac:dyDescent="0.3">
      <c r="B96" s="5" t="s">
        <v>280</v>
      </c>
      <c r="C96" s="5" t="s">
        <v>281</v>
      </c>
      <c r="D96" s="5" t="s">
        <v>499</v>
      </c>
      <c r="E96" s="5" t="s">
        <v>599</v>
      </c>
      <c r="F96" s="5" t="s">
        <v>89</v>
      </c>
      <c r="G96" s="5">
        <v>45</v>
      </c>
      <c r="H96" s="17">
        <v>62306665</v>
      </c>
    </row>
    <row r="97" spans="2:8" x14ac:dyDescent="0.3">
      <c r="B97" s="5" t="s">
        <v>282</v>
      </c>
      <c r="C97" s="5" t="s">
        <v>283</v>
      </c>
      <c r="D97" s="5" t="s">
        <v>500</v>
      </c>
      <c r="E97" s="5" t="s">
        <v>600</v>
      </c>
      <c r="F97" s="5" t="s">
        <v>145</v>
      </c>
      <c r="G97" s="5">
        <v>50</v>
      </c>
      <c r="H97" s="17">
        <v>46981074</v>
      </c>
    </row>
    <row r="98" spans="2:8" x14ac:dyDescent="0.3">
      <c r="B98" s="5" t="s">
        <v>284</v>
      </c>
      <c r="C98" s="5" t="s">
        <v>285</v>
      </c>
      <c r="D98" s="5" t="s">
        <v>501</v>
      </c>
      <c r="E98" s="5" t="s">
        <v>601</v>
      </c>
      <c r="F98" s="5" t="s">
        <v>85</v>
      </c>
      <c r="G98" s="5">
        <v>48</v>
      </c>
      <c r="H98" s="17">
        <v>201303981</v>
      </c>
    </row>
    <row r="99" spans="2:8" x14ac:dyDescent="0.3">
      <c r="B99" s="5" t="s">
        <v>286</v>
      </c>
      <c r="C99" s="5" t="s">
        <v>287</v>
      </c>
      <c r="D99" s="5" t="s">
        <v>502</v>
      </c>
      <c r="E99" s="5" t="s">
        <v>602</v>
      </c>
      <c r="F99" s="7" t="s">
        <v>85</v>
      </c>
      <c r="G99" s="15">
        <v>46</v>
      </c>
      <c r="H99" s="17">
        <v>225614048</v>
      </c>
    </row>
    <row r="100" spans="2:8" x14ac:dyDescent="0.3">
      <c r="B100" s="5" t="s">
        <v>288</v>
      </c>
      <c r="C100" s="5" t="s">
        <v>289</v>
      </c>
      <c r="D100" s="5" t="s">
        <v>503</v>
      </c>
      <c r="E100" s="5" t="s">
        <v>603</v>
      </c>
      <c r="F100" s="5" t="s">
        <v>89</v>
      </c>
      <c r="G100" s="5">
        <v>55</v>
      </c>
      <c r="H100" s="17">
        <v>71499784</v>
      </c>
    </row>
    <row r="101" spans="2:8" x14ac:dyDescent="0.3">
      <c r="B101" s="5" t="s">
        <v>290</v>
      </c>
      <c r="C101" s="5" t="s">
        <v>291</v>
      </c>
      <c r="D101" s="5" t="s">
        <v>504</v>
      </c>
      <c r="E101" s="5" t="s">
        <v>604</v>
      </c>
      <c r="F101" s="5" t="s">
        <v>89</v>
      </c>
      <c r="G101" s="5">
        <v>46</v>
      </c>
      <c r="H101" s="17">
        <v>197933313</v>
      </c>
    </row>
    <row r="102" spans="2:8" x14ac:dyDescent="0.3">
      <c r="B102" s="5" t="s">
        <v>292</v>
      </c>
      <c r="C102" s="5" t="s">
        <v>293</v>
      </c>
      <c r="D102" s="5" t="s">
        <v>505</v>
      </c>
      <c r="E102" s="5" t="s">
        <v>605</v>
      </c>
      <c r="F102" s="5" t="s">
        <v>85</v>
      </c>
      <c r="G102" s="5">
        <v>56</v>
      </c>
      <c r="H102" s="17">
        <v>246582188</v>
      </c>
    </row>
    <row r="103" spans="2:8" x14ac:dyDescent="0.3">
      <c r="B103" s="5" t="s">
        <v>294</v>
      </c>
      <c r="C103" s="5" t="s">
        <v>295</v>
      </c>
      <c r="D103" s="5" t="s">
        <v>506</v>
      </c>
      <c r="E103" s="5" t="s">
        <v>606</v>
      </c>
      <c r="F103" s="5" t="s">
        <v>145</v>
      </c>
      <c r="G103" s="5">
        <v>58</v>
      </c>
      <c r="H103" s="17">
        <v>135653904</v>
      </c>
    </row>
    <row r="104" spans="2:8" x14ac:dyDescent="0.3">
      <c r="B104" s="5" t="s">
        <v>136</v>
      </c>
      <c r="C104" s="5" t="s">
        <v>408</v>
      </c>
      <c r="D104" s="5" t="s">
        <v>434</v>
      </c>
      <c r="E104" s="5" t="s">
        <v>534</v>
      </c>
      <c r="F104" s="5" t="s">
        <v>399</v>
      </c>
      <c r="G104" s="5">
        <v>47</v>
      </c>
      <c r="H104" s="17">
        <v>46033809</v>
      </c>
    </row>
    <row r="105" spans="2:8" x14ac:dyDescent="0.3">
      <c r="B105" s="5" t="s">
        <v>297</v>
      </c>
      <c r="C105" s="5" t="s">
        <v>298</v>
      </c>
      <c r="D105" s="5" t="s">
        <v>507</v>
      </c>
      <c r="E105" s="5" t="s">
        <v>607</v>
      </c>
      <c r="F105" s="5" t="s">
        <v>82</v>
      </c>
      <c r="G105" s="5">
        <v>46</v>
      </c>
      <c r="H105" s="17">
        <v>215518341</v>
      </c>
    </row>
    <row r="106" spans="2:8" x14ac:dyDescent="0.3">
      <c r="B106" s="5" t="s">
        <v>297</v>
      </c>
      <c r="C106" s="5" t="s">
        <v>298</v>
      </c>
      <c r="D106" s="5" t="s">
        <v>507</v>
      </c>
      <c r="E106" s="5" t="s">
        <v>607</v>
      </c>
      <c r="F106" s="5" t="s">
        <v>85</v>
      </c>
      <c r="G106" s="5">
        <v>46</v>
      </c>
      <c r="H106" s="17">
        <v>215518341</v>
      </c>
    </row>
    <row r="107" spans="2:8" x14ac:dyDescent="0.3">
      <c r="B107" s="5" t="s">
        <v>299</v>
      </c>
      <c r="C107" s="5" t="s">
        <v>300</v>
      </c>
      <c r="D107" s="5" t="s">
        <v>508</v>
      </c>
      <c r="E107" s="5" t="s">
        <v>608</v>
      </c>
      <c r="F107" s="5" t="s">
        <v>89</v>
      </c>
      <c r="G107" s="5">
        <v>58</v>
      </c>
      <c r="H107" s="17">
        <v>85688101</v>
      </c>
    </row>
    <row r="108" spans="2:8" x14ac:dyDescent="0.3">
      <c r="B108" s="5" t="s">
        <v>299</v>
      </c>
      <c r="C108" s="5" t="s">
        <v>300</v>
      </c>
      <c r="D108" s="5" t="s">
        <v>508</v>
      </c>
      <c r="E108" s="5" t="s">
        <v>608</v>
      </c>
      <c r="F108" s="5" t="s">
        <v>85</v>
      </c>
      <c r="G108" s="5">
        <v>58</v>
      </c>
      <c r="H108" s="17">
        <v>85688101</v>
      </c>
    </row>
    <row r="109" spans="2:8" x14ac:dyDescent="0.3">
      <c r="B109" s="5" t="s">
        <v>301</v>
      </c>
      <c r="C109" s="5" t="s">
        <v>302</v>
      </c>
      <c r="D109" s="5" t="s">
        <v>509</v>
      </c>
      <c r="E109" s="5" t="s">
        <v>609</v>
      </c>
      <c r="F109" s="5" t="s">
        <v>82</v>
      </c>
      <c r="G109" s="5">
        <v>51</v>
      </c>
      <c r="H109" s="17">
        <v>208610720</v>
      </c>
    </row>
    <row r="110" spans="2:8" x14ac:dyDescent="0.3">
      <c r="B110" s="5" t="s">
        <v>301</v>
      </c>
      <c r="C110" s="5" t="s">
        <v>302</v>
      </c>
      <c r="D110" s="5" t="s">
        <v>509</v>
      </c>
      <c r="E110" s="5" t="s">
        <v>609</v>
      </c>
      <c r="F110" s="5" t="s">
        <v>399</v>
      </c>
      <c r="G110" s="5">
        <v>51</v>
      </c>
      <c r="H110" s="17">
        <v>208610720</v>
      </c>
    </row>
    <row r="111" spans="2:8" x14ac:dyDescent="0.3">
      <c r="B111" s="5" t="s">
        <v>304</v>
      </c>
      <c r="C111" s="5" t="s">
        <v>305</v>
      </c>
      <c r="D111" s="5" t="s">
        <v>510</v>
      </c>
      <c r="E111" s="5" t="s">
        <v>610</v>
      </c>
      <c r="F111" s="5" t="s">
        <v>85</v>
      </c>
      <c r="G111" s="5">
        <v>49</v>
      </c>
      <c r="H111" s="17">
        <v>197914384</v>
      </c>
    </row>
    <row r="112" spans="2:8" x14ac:dyDescent="0.3">
      <c r="B112" s="5" t="s">
        <v>306</v>
      </c>
      <c r="C112" s="5" t="s">
        <v>307</v>
      </c>
      <c r="D112" s="5" t="s">
        <v>511</v>
      </c>
      <c r="E112" s="5" t="s">
        <v>611</v>
      </c>
      <c r="F112" s="5" t="s">
        <v>85</v>
      </c>
      <c r="G112" s="5">
        <v>46</v>
      </c>
      <c r="H112" s="17">
        <v>124577091</v>
      </c>
    </row>
    <row r="113" spans="2:8" x14ac:dyDescent="0.3">
      <c r="B113" s="5" t="s">
        <v>308</v>
      </c>
      <c r="C113" s="5" t="s">
        <v>309</v>
      </c>
      <c r="D113" s="5" t="s">
        <v>512</v>
      </c>
      <c r="E113" s="5" t="s">
        <v>612</v>
      </c>
      <c r="F113" s="5" t="s">
        <v>399</v>
      </c>
      <c r="G113" s="5">
        <v>49</v>
      </c>
      <c r="H113" s="17">
        <v>160565332</v>
      </c>
    </row>
    <row r="114" spans="2:8" x14ac:dyDescent="0.3">
      <c r="B114" s="5" t="s">
        <v>308</v>
      </c>
      <c r="C114" s="5" t="s">
        <v>309</v>
      </c>
      <c r="D114" s="5" t="s">
        <v>512</v>
      </c>
      <c r="E114" s="5" t="s">
        <v>612</v>
      </c>
      <c r="F114" s="5" t="s">
        <v>85</v>
      </c>
      <c r="G114" s="5">
        <v>49</v>
      </c>
      <c r="H114" s="17">
        <v>160565332</v>
      </c>
    </row>
    <row r="115" spans="2:8" x14ac:dyDescent="0.3">
      <c r="B115" s="5" t="s">
        <v>310</v>
      </c>
      <c r="C115" s="5" t="s">
        <v>311</v>
      </c>
      <c r="D115" s="5" t="s">
        <v>513</v>
      </c>
      <c r="E115" s="5" t="s">
        <v>613</v>
      </c>
      <c r="F115" s="5" t="s">
        <v>145</v>
      </c>
      <c r="G115" s="5">
        <v>60</v>
      </c>
      <c r="H115" s="17">
        <v>164658695</v>
      </c>
    </row>
    <row r="116" spans="2:8" x14ac:dyDescent="0.3">
      <c r="B116" s="5" t="s">
        <v>310</v>
      </c>
      <c r="C116" s="5" t="s">
        <v>311</v>
      </c>
      <c r="D116" s="5" t="s">
        <v>513</v>
      </c>
      <c r="E116" s="5" t="s">
        <v>613</v>
      </c>
      <c r="F116" s="5" t="s">
        <v>85</v>
      </c>
      <c r="G116" s="5">
        <v>60</v>
      </c>
      <c r="H116" s="17">
        <v>164658695</v>
      </c>
    </row>
    <row r="117" spans="2:8" x14ac:dyDescent="0.3">
      <c r="B117" s="5" t="s">
        <v>312</v>
      </c>
      <c r="C117" s="5" t="s">
        <v>313</v>
      </c>
      <c r="D117" s="5" t="s">
        <v>514</v>
      </c>
      <c r="E117" s="5" t="s">
        <v>614</v>
      </c>
      <c r="F117" s="5" t="s">
        <v>85</v>
      </c>
      <c r="G117" s="5">
        <v>46</v>
      </c>
      <c r="H117" s="17">
        <v>158696184</v>
      </c>
    </row>
    <row r="118" spans="2:8" x14ac:dyDescent="0.3">
      <c r="B118" s="5" t="s">
        <v>314</v>
      </c>
      <c r="C118" s="5" t="s">
        <v>315</v>
      </c>
      <c r="D118" s="5" t="s">
        <v>515</v>
      </c>
      <c r="E118" s="5" t="s">
        <v>6</v>
      </c>
      <c r="F118" s="5" t="s">
        <v>85</v>
      </c>
      <c r="G118" s="5">
        <v>54</v>
      </c>
      <c r="H118" s="16">
        <v>189210628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Vee Inc Data</vt:lpstr>
      <vt:lpstr>Vee Inc Data (Cleaned)</vt:lpstr>
      <vt:lpstr>Solutions-Savvy Data</vt:lpstr>
      <vt:lpstr>Sheet2</vt:lpstr>
      <vt:lpstr>Solutions-Savvy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Eseoghena Braimah</dc:creator>
  <cp:lastModifiedBy>Emmanuel Okeleke</cp:lastModifiedBy>
  <dcterms:created xsi:type="dcterms:W3CDTF">2024-01-12T21:28:18Z</dcterms:created>
  <dcterms:modified xsi:type="dcterms:W3CDTF">2026-03-12T05:18:41Z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2024-01-12T21:34:09Z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04d84ad8-578f-4db1-bd56-02da9ecf3636</vt:lpwstr>
  </property>
  <property fmtid="{D5CDD505-2E9C-101B-9397-08002B2CF9AE}" pid="7" name="MSIP_Label_defa4170-0d19-0005-0004-bc88714345d2_ActionId">
    <vt:lpwstr>322ef97f-0048-4083-8dfd-8555c159503b</vt:lpwstr>
  </property>
  <property fmtid="{D5CDD505-2E9C-101B-9397-08002B2CF9AE}" pid="8" name="MSIP_Label_defa4170-0d19-0005-0004-bc88714345d2_ContentBits">
    <vt:lpwstr>0</vt:lpwstr>
  </property>
</Properties>
</file>